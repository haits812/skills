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1dfa39102c4f06" /></Relationships>
</file>

<file path=xl/workbook.xml><?xml version="1.0" encoding="utf-8"?>
<x:workbook xmlns:x="http://schemas.openxmlformats.org/spreadsheetml/2006/main">
  <x:sheets>
    <x:sheet xmlns:r="http://schemas.openxmlformats.org/officeDocument/2006/relationships" name="00_使い方" sheetId="1" r:id="Rcfb99693990d4a92"/>
    <x:sheet xmlns:r="http://schemas.openxmlformats.org/officeDocument/2006/relationships" name="01_プロジェクト基本情報" sheetId="2" r:id="Rf248773405d24395"/>
    <x:sheet xmlns:r="http://schemas.openxmlformats.org/officeDocument/2006/relationships" name="02_WBSテンプレ" sheetId="3" r:id="R69a0fef8bfb44eb7"/>
    <x:sheet xmlns:r="http://schemas.openxmlformats.org/officeDocument/2006/relationships" name="03_判定基準" sheetId="4" r:id="R115d28deec6c435f"/>
    <x:sheet xmlns:r="http://schemas.openxmlformats.org/officeDocument/2006/relationships" name="04_週次ヘルスチェック" sheetId="5" r:id="R80bc3197e5b346ec"/>
    <x:sheet xmlns:r="http://schemas.openxmlformats.org/officeDocument/2006/relationships" name="05_週次報告" sheetId="6" r:id="Rc0b3d752476647fb"/>
    <x:sheet xmlns:r="http://schemas.openxmlformats.org/officeDocument/2006/relationships" name="06_Copilotプロンプト例" sheetId="7" r:id="R08e989cc22ab4006"/>
    <x:sheet xmlns:r="http://schemas.openxmlformats.org/officeDocument/2006/relationships" name="07_仮定回答サンプル" sheetId="8" r:id="Rd8d5ae626c9b4cd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9">
    <x:font>
      <x:sz val="11"/>
      <x:name val="Carlito"/>
    </x:font>
    <x:font>
      <x:b/>
      <x:sz val="16"/>
      <x:color rgb="FFFFFFFF"/>
      <x:name val="Carlito"/>
    </x:font>
    <x:font>
      <x:sz val="11"/>
      <x:color rgb="FF334155"/>
      <x:name val="Carlito"/>
    </x:font>
    <x:font>
      <x:b/>
      <x:sz val="11"/>
      <x:color rgb="FFFFFFFF"/>
      <x:name val="Carlito"/>
    </x:font>
    <x:font>
      <x:b/>
      <x:sz val="11"/>
      <x:color rgb="FF0F172A"/>
      <x:name val="Carlito"/>
    </x:font>
    <x:font>
      <x:sz val="11"/>
      <x:color rgb="FF0F172A"/>
      <x:name val="Carlito"/>
    </x:font>
    <x:font>
      <x:b/>
      <x:sz val="14"/>
      <x:color rgb="FFFFFFFF"/>
      <x:name val="Carlito"/>
    </x:font>
    <x:font>
      <x:sz val="11"/>
      <x:color rgb="FF111827"/>
      <x:name val="Carlito"/>
    </x:font>
    <x:font>
      <x:b/>
      <x:sz val="11"/>
      <x:color rgb="FF111827"/>
      <x:name val="Carlito"/>
    </x:font>
  </x:fonts>
  <x:fills count="12">
    <x:fill>
      <x:patternFill patternType="none"/>
    </x:fill>
    <x:fill>
      <x:patternFill patternType="gray125"/>
    </x:fill>
    <x:fill>
      <x:patternFill patternType="solid">
        <x:fgColor rgb="FF0F172A"/>
      </x:patternFill>
    </x:fill>
    <x:fill>
      <x:patternFill patternType="solid">
        <x:fgColor rgb="FFF1F5F9"/>
      </x:patternFill>
    </x:fill>
    <x:fill>
      <x:patternFill patternType="solid">
        <x:fgColor rgb="FFDBEAFE"/>
      </x:patternFill>
    </x:fill>
    <x:fill>
      <x:patternFill patternType="solid">
        <x:fgColor rgb="FFFFFFFF"/>
      </x:patternFill>
    </x:fill>
    <x:fill>
      <x:patternFill patternType="solid">
        <x:fgColor rgb="FFF8FAFC"/>
      </x:patternFill>
    </x:fill>
    <x:fill>
      <x:patternFill patternType="solid">
        <x:fgColor rgb="FF0F766E"/>
      </x:patternFill>
    </x:fill>
    <x:fill>
      <x:patternFill patternType="solid">
        <x:fgColor rgb="FF111827"/>
      </x:patternFill>
    </x:fill>
    <x:fill>
      <x:patternFill patternType="solid">
        <x:fgColor rgb="FFF9FAFB"/>
      </x:patternFill>
    </x:fill>
    <x:fill>
      <x:patternFill patternType="solid">
        <x:fgColor rgb="FF1F4E79"/>
      </x:patternFill>
    </x:fill>
    <x:fill>
      <x:patternFill patternType="solid">
        <x:fgColor rgb="FFE5E7EB"/>
      </x:patternFill>
    </x:fill>
  </x:fills>
  <x:borders count="2">
    <x:border/>
    <x:border/>
  </x:borders>
  <x:cellStyleXfs count="1">
    <x:xf numFmtId="0" fontId="0" fillId="0" borderId="0"/>
  </x:cellStyleXfs>
  <x:cellXfs count="1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1" fillId="2" borderId="0" xfId="0" applyNumberFormat="1" applyFont="1" applyFill="1" applyBorder="1" applyAlignment="1">
      <x:alignment horizontal="left" vertical="center" wrapText="1"/>
    </x:xf>
    <x:xf numFmtId="0" fontId="4" fillId="4"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4" fillId="4" borderId="1" xfId="0" applyNumberFormat="1" applyFont="1" applyFill="1" applyBorder="1" applyAlignment="1">
      <x:alignment horizontal="left" vertical="center"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200" fontId="2" fillId="6" borderId="0" xfId="0" applyNumberFormat="1" applyFont="1" applyFill="1" applyBorder="1" applyAlignment="1">
      <x:alignment vertical="top" wrapText="1"/>
    </x:xf>
    <x:xf numFmtId="200" fontId="2" fillId="6"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0" fontId="0" fillId="5" borderId="0" xfId="0" applyNumberFormat="1" applyFont="1" applyFill="1" applyBorder="1"/>
    <x:xf numFmtId="0" fontId="0" fillId="5" borderId="0" xfId="0" applyNumberFormat="1" applyFont="1" applyFill="1" applyBorder="1"/>
    <x:xf numFmtId="201" fontId="0" fillId="5" borderId="0" xfId="0" applyNumberFormat="1" applyFont="1" applyFill="1" applyBorder="1"/>
    <x:xf numFmtId="200" fontId="4" fillId="5" borderId="0" xfId="0" applyNumberFormat="1" applyFont="1" applyFill="1" applyBorder="1"/>
    <x:xf numFmtId="0" fontId="4" fillId="5" borderId="0" xfId="0" applyNumberFormat="1" applyFont="1" applyFill="1" applyBorder="1"/>
    <x:xf numFmtId="201" fontId="4" fillId="5" borderId="0" xfId="0" applyNumberFormat="1" applyFont="1" applyFill="1" applyBorder="1"/>
    <x:xf numFmtId="200" fontId="4" fillId="5" borderId="0" xfId="0" applyNumberFormat="1" applyFont="1" applyFill="1" applyBorder="1" applyAlignment="1">
      <x:alignment wrapText="1"/>
    </x:xf>
    <x:xf numFmtId="0" fontId="4" fillId="5" borderId="0" xfId="0" applyNumberFormat="1" applyFont="1" applyFill="1" applyBorder="1" applyAlignment="1">
      <x:alignment wrapText="1"/>
    </x:xf>
    <x:xf numFmtId="201" fontId="4" fillId="5" borderId="0" xfId="0" applyNumberFormat="1" applyFont="1" applyFill="1" applyBorder="1" applyAlignment="1">
      <x:alignment wrapText="1"/>
    </x:xf>
    <x:xf numFmtId="20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wrapText="1"/>
    </x:xf>
    <x:xf numFmtId="201" fontId="4" fillId="5" borderId="0" xfId="0" applyNumberFormat="1" applyFont="1" applyFill="1" applyBorder="1" applyAlignment="1">
      <x:alignment horizontal="center" wrapText="1"/>
    </x:xf>
    <x:xf numFmtId="200" fontId="4" fillId="5"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201" fontId="4" fillId="5" borderId="0" xfId="0" applyNumberFormat="1" applyFont="1" applyFill="1" applyBorder="1" applyAlignment="1">
      <x:alignment horizontal="center" vertical="center" wrapText="1"/>
    </x:xf>
    <x:xf numFmtId="200" fontId="0" fillId="5" borderId="1" xfId="0" applyNumberFormat="1" applyFont="1" applyFill="1" applyBorder="1"/>
    <x:xf numFmtId="0" fontId="0" fillId="5" borderId="1" xfId="0" applyNumberFormat="1" applyFont="1" applyFill="1" applyBorder="1"/>
    <x:xf numFmtId="201" fontId="0" fillId="5" borderId="1" xfId="0" applyNumberFormat="1" applyFont="1" applyFill="1" applyBorder="1"/>
    <x:xf numFmtId="200" fontId="4" fillId="5" borderId="1" xfId="0" applyNumberFormat="1" applyFont="1" applyFill="1" applyBorder="1"/>
    <x:xf numFmtId="0" fontId="4" fillId="5" borderId="1" xfId="0" applyNumberFormat="1" applyFont="1" applyFill="1" applyBorder="1"/>
    <x:xf numFmtId="201" fontId="4" fillId="5" borderId="1" xfId="0" applyNumberFormat="1" applyFont="1" applyFill="1" applyBorder="1"/>
    <x:xf numFmtId="200" fontId="4" fillId="5" borderId="1" xfId="0" applyNumberFormat="1" applyFont="1" applyFill="1" applyBorder="1" applyAlignment="1">
      <x:alignment wrapText="1"/>
    </x:xf>
    <x:xf numFmtId="0" fontId="4" fillId="5" borderId="1" xfId="0" applyNumberFormat="1" applyFont="1" applyFill="1" applyBorder="1" applyAlignment="1">
      <x:alignment wrapText="1"/>
    </x:xf>
    <x:xf numFmtId="201" fontId="4" fillId="5" borderId="1" xfId="0" applyNumberFormat="1" applyFont="1" applyFill="1" applyBorder="1" applyAlignment="1">
      <x:alignment wrapText="1"/>
    </x:xf>
    <x:xf numFmtId="20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wrapText="1"/>
    </x:xf>
    <x:xf numFmtId="201" fontId="4" fillId="5" borderId="1" xfId="0" applyNumberFormat="1" applyFont="1" applyFill="1" applyBorder="1" applyAlignment="1">
      <x:alignment horizontal="center" wrapText="1"/>
    </x:xf>
    <x:xf numFmtId="200" fontId="4" fillId="5"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201" fontId="4" fillId="5" borderId="1" xfId="0" applyNumberFormat="1" applyFont="1" applyFill="1" applyBorder="1" applyAlignment="1">
      <x:alignment horizontal="center" vertical="center"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top" wrapText="1"/>
    </x:xf>
    <x:xf numFmtId="200" fontId="5" fillId="5" borderId="0" xfId="0" applyNumberFormat="1" applyFont="1" applyFill="1" applyBorder="1" applyAlignment="1">
      <x:alignment vertical="top" wrapText="1"/>
    </x:xf>
    <x:xf numFmtId="200" fontId="5" fillId="5" borderId="1" xfId="0" applyNumberFormat="1" applyFont="1" applyFill="1" applyBorder="1" applyAlignment="1">
      <x:alignment vertical="top" wrapText="1"/>
    </x:xf>
    <x:xf numFmtId="0" fontId="2" fillId="3" borderId="0"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0" fillId="0"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left"/>
    </x:xf>
    <x:xf numFmtId="0" fontId="6" fillId="8" borderId="0" xfId="0" applyNumberFormat="1" applyFont="1" applyFill="1" applyBorder="1" applyAlignment="1">
      <x:alignment horizontal="left"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8" fillId="11" borderId="0" xfId="0" applyNumberFormat="1" applyFont="1" applyFill="1" applyBorder="1" applyAlignment="1">
      <x:alignment horizontal="left" wrapText="1"/>
    </x:xf>
    <x:xf numFmtId="0" fontId="8" fillId="11" borderId="0" xfId="0" applyNumberFormat="1" applyFont="1" applyFill="1" applyBorder="1" applyAlignment="1">
      <x:alignment horizontal="left" vertical="center" wrapText="1"/>
    </x:xf>
    <x:xf numFmtId="0" fontId="0" fillId="0" borderId="0" xfId="0" applyNumberFormat="1" applyFont="1" applyFill="1" applyBorder="1" applyAlignment="1">
      <x:alignment horizontal="center" vertical="top" wrapText="1"/>
    </x:xf>
    <x:xf numFmtId="0" fontId="2" fillId="9" borderId="0" xfId="0" applyNumberFormat="1" applyFont="1" applyFill="1" applyBorder="1" applyAlignment="1">
      <x:alignment horizontal="left" vertical="top" wrapText="1"/>
    </x:xf>
    <x:xf numFmtId="0" fontId="7" fillId="9" borderId="0" xfId="0" applyNumberFormat="1" applyFont="1" applyFill="1" applyBorder="1" applyAlignment="1">
      <x:alignment horizontal="left" vertical="top" wrapText="1"/>
    </x:xf>
  </x:cellXfs>
  <x:cellStyles count="1">
    <x:cellStyle name="Normal" xfId="0"/>
  </x:cellStyles>
  <x:dxfs count="5">
    <x:dxf>
      <x:fill>
        <x:patternFill>
          <x:bgColor rgb="FFFEE2E2"/>
        </x:patternFill>
      </x:fill>
    </x:dxf>
    <x:dxf>
      <x:fill>
        <x:patternFill>
          <x:bgColor rgb="FFFEF3C7"/>
        </x:patternFill>
      </x:fill>
    </x:dxf>
    <x:dxf>
      <x:font>
        <x:b/>
        <x:color rgb="FFB91C1C"/>
      </x:font>
    </x:dxf>
    <x:dxf>
      <x:fill>
        <x:patternFill>
          <x:bgColor rgb="FFFEE2E2"/>
        </x:patternFill>
      </x:fill>
    </x:dxf>
    <x:dxf>
      <x:font>
        <x:b/>
        <x:color rgb="FFB91C1C"/>
      </x:font>
    </x:dxf>
  </x:dxfs>
</x:styleSheet>
</file>

<file path=xl/_rels/workbook.xml.rels>&#65279;<?xml version="1.0" encoding="utf-8"?><Relationships xmlns="http://schemas.openxmlformats.org/package/2006/relationships"><Relationship Type="http://schemas.openxmlformats.org/officeDocument/2006/relationships/styles" Target="/xl/styles.xml" Id="Rda0693228f9b40fa" /><Relationship Type="http://schemas.openxmlformats.org/officeDocument/2006/relationships/theme" Target="/xl/theme/theme1.xml" Id="R733c53dbed6546a5" /><Relationship Type="http://schemas.openxmlformats.org/officeDocument/2006/relationships/sharedStrings" Target="/xl/sharedStrings.xml" Id="R751497474caa46eb" /><Relationship Type="http://schemas.openxmlformats.org/officeDocument/2006/relationships/worksheet" Target="/xl/worksheets/sheet1.xml" Id="Rcfb99693990d4a92" /><Relationship Type="http://schemas.openxmlformats.org/officeDocument/2006/relationships/worksheet" Target="/xl/worksheets/sheet2.xml" Id="Rf248773405d24395" /><Relationship Type="http://schemas.openxmlformats.org/officeDocument/2006/relationships/worksheet" Target="/xl/worksheets/sheet3.xml" Id="R69a0fef8bfb44eb7" /><Relationship Type="http://schemas.openxmlformats.org/officeDocument/2006/relationships/worksheet" Target="/xl/worksheets/sheet4.xml" Id="R115d28deec6c435f" /><Relationship Type="http://schemas.openxmlformats.org/officeDocument/2006/relationships/worksheet" Target="/xl/worksheets/sheet5.xml" Id="R80bc3197e5b346ec" /><Relationship Type="http://schemas.openxmlformats.org/officeDocument/2006/relationships/worksheet" Target="/xl/worksheets/sheet6.xml" Id="Rc0b3d752476647fb" /><Relationship Type="http://schemas.openxmlformats.org/officeDocument/2006/relationships/worksheet" Target="/xl/worksheets/sheet7.xml" Id="R08e989cc22ab4006" /><Relationship Type="http://schemas.openxmlformats.org/officeDocument/2006/relationships/worksheet" Target="/xl/worksheets/sheet8.xml" Id="Rd8d5ae626c9b4cd8" /></Relationships>
</file>

<file path=xl/tables/table1.xml><?xml version="1.0" encoding="utf-8"?>
<x:table xmlns:x="http://schemas.openxmlformats.org/spreadsheetml/2006/main" id="1" name="ProjectInfoTable" displayName="ProjectInfoTable" ref="A5:F27" headerRowCount="1">
  <x:tableColumns count="6">
    <x:tableColumn id="1" name="区分"/>
    <x:tableColumn id="2" name="項目"/>
    <x:tableColumn id="3" name="入力欄"/>
    <x:tableColumn id="4" name="入力例"/>
    <x:tableColumn id="5" name="必須"/>
    <x:tableColumn id="6" name="メモ / Copilotへの補足"/>
  </x:tableColumns>
  <x:tableStyleInfo name="TableStyleMedium2" showRowStripes="1"/>
</x:table>
</file>

<file path=xl/tables/table2.xml><?xml version="1.0" encoding="utf-8"?>
<x:table xmlns:x="http://schemas.openxmlformats.org/spreadsheetml/2006/main" id="2" name="WBSTable" displayName="WBSTable" ref="A5:W35" headerRowCount="1">
  <x:tableColumns count="23">
    <x:tableColumn id="1" name="WBS ID"/>
    <x:tableColumn id="2" name="プロジェクト/領域"/>
    <x:tableColumn id="3" name="工程"/>
    <x:tableColumn id="4" name="マイルストーン"/>
    <x:tableColumn id="5" name="タスク名"/>
    <x:tableColumn id="6" name="成果物"/>
    <x:tableColumn id="7" name="確認観点"/>
    <x:tableColumn id="8" name="担当"/>
    <x:tableColumn id="9" name="開始予定日"/>
    <x:tableColumn id="10" name="期限"/>
    <x:tableColumn id="11" name="進捗率"/>
    <x:tableColumn id="12" name="ステータス"/>
    <x:tableColumn id="13" name="重要度"/>
    <x:tableColumn id="14" name="課題メモ"/>
    <x:tableColumn id="15" name="最終更新日"/>
    <x:tableColumn id="16" name="遅延判定"/>
    <x:tableColumn id="17" name="リスクレベル"/>
    <x:tableColumn id="18" name="リスク理由"/>
    <x:tableColumn id="19" name="エスカレーション要否"/>
    <x:tableColumn id="20" name="PMOコメント"/>
    <x:tableColumn id="21" name="次アクション"/>
    <x:tableColumn id="22" name="確認先"/>
    <x:tableColumn id="23" name="Copilot質問メモ"/>
  </x:tableColumns>
  <x:tableStyleInfo name="TableStyleMedium2" showRowStripes="1"/>
</x:table>
</file>

<file path=xl/tables/table3.xml><?xml version="1.0" encoding="utf-8"?>
<x:table xmlns:x="http://schemas.openxmlformats.org/spreadsheetml/2006/main" id="3" name="CriteriaTable" displayName="CriteriaTable" ref="A5:D13" headerRowCount="1">
  <x:tableColumns count="4">
    <x:tableColumn id="1" name="判定項目"/>
    <x:tableColumn id="2" name="レベル / 区分"/>
    <x:tableColumn id="3" name="基準"/>
    <x:tableColumn id="4" name="Copilotへの扱い"/>
  </x:tableColumns>
  <x:tableStyleInfo name="TableStyleMedium2" showRowStripes="1"/>
</x:table>
</file>

<file path=xl/tables/table4.xml><?xml version="1.0" encoding="utf-8"?>
<x:table xmlns:x="http://schemas.openxmlformats.org/spreadsheetml/2006/main" id="4" name="KeywordTable" displayName="KeywordTable" ref="A15:C22" headerRowCount="1">
  <x:tableColumns count="3">
    <x:tableColumn id="1" name="阻害キーワード"/>
    <x:tableColumn id="2" name="意味"/>
    <x:tableColumn id="3" name="使い方"/>
  </x:tableColumns>
  <x:tableStyleInfo name="TableStyleMedium2" showRowStripes="1"/>
</x:table>
</file>

<file path=xl/tables/table5.xml><?xml version="1.0" encoding="utf-8"?>
<x:table xmlns:x="http://schemas.openxmlformats.org/spreadsheetml/2006/main" id="5" name="HealthSummaryTable" displayName="HealthSummaryTable" ref="A11:E16" headerRowCount="1">
  <x:tableColumns count="5">
    <x:tableColumn id="1" name="観点"/>
    <x:tableColumn id="2" name="現状"/>
    <x:tableColumn id="3" name="主な根拠"/>
    <x:tableColumn id="4" name="PMO確認事項"/>
    <x:tableColumn id="5" name="次アクション"/>
  </x:tableColumns>
  <x:tableStyleInfo name="TableStyleMedium2" showRowStripes="1"/>
</x:table>
</file>

<file path=xl/tables/table6.xml><?xml version="1.0" encoding="utf-8"?>
<x:table xmlns:x="http://schemas.openxmlformats.org/spreadsheetml/2006/main" id="6" name="AttentionTasksTable" displayName="AttentionTasksTable" ref="A19:J29" headerRowCount="1">
  <x:tableColumns count="10">
    <x:tableColumn id="1" name="WBS ID"/>
    <x:tableColumn id="2" name="工程"/>
    <x:tableColumn id="3" name="タスク名"/>
    <x:tableColumn id="4" name="担当"/>
    <x:tableColumn id="5" name="期限"/>
    <x:tableColumn id="6" name="遅延判定"/>
    <x:tableColumn id="7" name="リスク"/>
    <x:tableColumn id="8" name="リスク理由"/>
    <x:tableColumn id="9" name="エスカレーション"/>
    <x:tableColumn id="10" name="次アクション"/>
  </x:tableColumns>
  <x:tableStyleInfo name="TableStyleMedium2" showRowStripes="1"/>
</x:table>
</file>

<file path=xl/tables/table7.xml><?xml version="1.0" encoding="utf-8"?>
<x:table xmlns:x="http://schemas.openxmlformats.org/spreadsheetml/2006/main" id="7" name="CheckQuestionsTable" displayName="CheckQuestionsTable" ref="A32:C39" headerRowCount="1">
  <x:tableColumns count="3">
    <x:tableColumn id="1" name="No"/>
    <x:tableColumn id="2" name="確認すべき質問"/>
    <x:tableColumn id="3" name="確認先"/>
  </x:tableColumns>
  <x:tableStyleInfo name="TableStyleMedium2" showRowStripes="1"/>
</x:table>
</file>

<file path=xl/tables/table8.xml><?xml version="1.0" encoding="utf-8"?>
<x:table xmlns:x="http://schemas.openxmlformats.org/spreadsheetml/2006/main" id="8" name="WeeklyReportTable" displayName="WeeklyReportTable" ref="A13:D21" headerRowCount="1">
  <x:tableColumns count="4">
    <x:tableColumn id="1" name="項目"/>
    <x:tableColumn id="2" name="Copilot作成欄"/>
    <x:tableColumn id="3" name="PMO確認 / 修正メモ"/>
    <x:tableColumn id="4" name="最終版"/>
  </x:tableColumns>
  <x:tableStyleInfo name="TableStyleMedium2" showRowStripes="1"/>
</x:table>
</file>

<file path=xl/tables/table9.xml><?xml version="1.0" encoding="utf-8"?>
<x:table xmlns:x="http://schemas.openxmlformats.org/spreadsheetml/2006/main" id="9" name="ReportCheckTable" displayName="ReportCheckTable" ref="A24:C28" headerRowCount="1">
  <x:tableColumns count="3">
    <x:tableColumn id="1" name="確認観点"/>
    <x:tableColumn id="2" name="確認結果"/>
    <x:tableColumn id="3" name="メモ"/>
  </x:tableColumns>
  <x:tableStyleInfo name="TableStyleMedium2" showRowStripes="1"/>
</x:table>
</file>

<file path=xl/tables/table10.xml><?xml version="1.0" encoding="utf-8"?>
<x:table xmlns:x="http://schemas.openxmlformats.org/spreadsheetml/2006/main" id="10" name="PromptExamplesTable" displayName="PromptExamplesTable" ref="A5:F17" headerRowCount="1">
  <x:tableColumns count="6">
    <x:tableColumn id="1" name="No"/>
    <x:tableColumn id="2" name="タイミング"/>
    <x:tableColumn id="3" name="目的"/>
    <x:tableColumn id="4" name="コピー用プロンプト"/>
    <x:tableColumn id="5" name="期待される出力"/>
    <x:tableColumn id="6" name="対象シート"/>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6af3728aa6446d" /></Relationships>
</file>

<file path=xl/worksheets/_rels/sheet3.xml.rels>&#65279;<?xml version="1.0" encoding="utf-8"?><Relationships xmlns="http://schemas.openxmlformats.org/package/2006/relationships"><Relationship Type="http://schemas.openxmlformats.org/officeDocument/2006/relationships/table" Target="/xl/tables/table2.xml" Id="R02489f1588db41a3" /></Relationships>
</file>

<file path=xl/worksheets/_rels/sheet4.xml.rels>&#65279;<?xml version="1.0" encoding="utf-8"?><Relationships xmlns="http://schemas.openxmlformats.org/package/2006/relationships"><Relationship Type="http://schemas.openxmlformats.org/officeDocument/2006/relationships/table" Target="/xl/tables/table3.xml" Id="Rc822d4cc70354bf7" /><Relationship Type="http://schemas.openxmlformats.org/officeDocument/2006/relationships/table" Target="/xl/tables/table4.xml" Id="Rd0daf2432f1e4406" /></Relationships>
</file>

<file path=xl/worksheets/_rels/sheet5.xml.rels>&#65279;<?xml version="1.0" encoding="utf-8"?><Relationships xmlns="http://schemas.openxmlformats.org/package/2006/relationships"><Relationship Type="http://schemas.openxmlformats.org/officeDocument/2006/relationships/table" Target="/xl/tables/table5.xml" Id="R2d6bb551e82645e7" /><Relationship Type="http://schemas.openxmlformats.org/officeDocument/2006/relationships/table" Target="/xl/tables/table6.xml" Id="Rd45c60214fcc4b9a" /><Relationship Type="http://schemas.openxmlformats.org/officeDocument/2006/relationships/table" Target="/xl/tables/table7.xml" Id="Rc95d3dc4c2734cf5" /></Relationships>
</file>

<file path=xl/worksheets/_rels/sheet6.xml.rels>&#65279;<?xml version="1.0" encoding="utf-8"?><Relationships xmlns="http://schemas.openxmlformats.org/package/2006/relationships"><Relationship Type="http://schemas.openxmlformats.org/officeDocument/2006/relationships/table" Target="/xl/tables/table8.xml" Id="Rf64200db166d4fb9" /><Relationship Type="http://schemas.openxmlformats.org/officeDocument/2006/relationships/table" Target="/xl/tables/table9.xml" Id="R56ec170726fb414f" /></Relationships>
</file>

<file path=xl/worksheets/_rels/sheet7.xml.rels>&#65279;<?xml version="1.0" encoding="utf-8"?><Relationships xmlns="http://schemas.openxmlformats.org/package/2006/relationships"><Relationship Type="http://schemas.openxmlformats.org/officeDocument/2006/relationships/table" Target="/xl/tables/table10.xml" Id="R42789a15c5744c42" /></Relationships>
</file>

<file path=xl/worksheets/sheet1.xml><?xml version="1.0" encoding="utf-8"?>
<x:worksheet xmlns:x="http://schemas.openxmlformats.org/spreadsheetml/2006/main">
  <x:sheetFormatPr defaultRowHeight="15"/>
  <x:cols>
    <x:col min="1" max="1" width="8" hidden="0" customWidth="1"/>
    <x:col min="2" max="2" width="28" hidden="0" customWidth="1"/>
    <x:col min="3" max="3" width="28" hidden="0" customWidth="1"/>
    <x:col min="4" max="4" width="45" hidden="0" customWidth="1"/>
    <x:col min="5" max="5" width="42" hidden="0" customWidth="1"/>
    <x:col min="6" max="6" width="16" hidden="0" customWidth="1"/>
    <x:col min="7" max="7" width="16" hidden="0" customWidth="1"/>
    <x:col min="8" max="8" width="16" hidden="0" customWidth="1"/>
    <x:col min="9" max="9" width="16" hidden="0" customWidth="1"/>
    <x:col min="10" max="10" width="16" hidden="0" customWidth="1"/>
  </x:cols>
  <x:sheetData>
    <x:row r="1" ht="30" customHeight="1">
      <x:c r="A1" s="38" t="str">
        <x:v>PMO週次管理テンプレート｜Copilot会話入力デモ</x:v>
      </x:c>
      <x:c r="B1" s="38"/>
      <x:c r="C1" s="38"/>
      <x:c r="D1" s="38"/>
      <x:c r="E1" s="38"/>
      <x:c r="F1" s="38"/>
      <x:c r="G1" s="38"/>
      <x:c r="H1" s="38"/>
      <x:c r="I1" s="38"/>
      <x:c r="J1" s="38"/>
    </x:row>
    <x:row r="2">
      <x:c r="A2" s="26"/>
      <x:c r="B2" s="26"/>
      <x:c r="C2" s="26"/>
      <x:c r="D2" s="26"/>
      <x:c r="E2" s="26"/>
      <x:c r="F2" s="26"/>
      <x:c r="G2" s="26"/>
      <x:c r="H2" s="26"/>
      <x:c r="I2" s="26"/>
      <x:c r="J2" s="26"/>
    </x:row>
    <x:row r="3" ht="45" customHeight="1">
      <x:c r="A3" s="112" t="str">
        <x:v>このブックは、PMO用テンプレートを先に用意し、Excel Copilotとの会話で必要情報を埋めていくためのデモ用雛形です。白紙生成ではなく、PMOの管理観点・判定基準・報告枠を固定したうえで、Copilotに質問・整理・反映をさせる設計です。</x:v>
      </x:c>
      <x:c r="B3" s="112"/>
      <x:c r="C3" s="112"/>
      <x:c r="D3" s="112"/>
      <x:c r="E3" s="112"/>
      <x:c r="F3" s="112"/>
      <x:c r="G3" s="112"/>
      <x:c r="H3" s="112"/>
      <x:c r="I3" s="112"/>
      <x:c r="J3" s="112"/>
    </x:row>
    <x:row r="4">
      <x:c r="A4" s="26"/>
      <x:c r="B4" s="26"/>
      <x:c r="C4" s="26"/>
      <x:c r="D4" s="26"/>
      <x:c r="E4" s="26"/>
      <x:c r="F4" s="26"/>
      <x:c r="G4" s="26"/>
      <x:c r="H4" s="26"/>
      <x:c r="I4" s="26"/>
      <x:c r="J4" s="26"/>
    </x:row>
    <x:row r="5">
      <x:c r="A5" s="21" t="str">
        <x:v>Step</x:v>
      </x:c>
      <x:c r="B5" s="21" t="str">
        <x:v>作業</x:v>
      </x:c>
      <x:c r="C5" s="21" t="str">
        <x:v>対象シート</x:v>
      </x:c>
      <x:c r="D5" s="21" t="str">
        <x:v>Copilotにさせること</x:v>
      </x:c>
      <x:c r="E5" s="21" t="str">
        <x:v>人間が確認すること</x:v>
      </x:c>
      <x:c r="F5" s="26"/>
      <x:c r="G5" s="26"/>
      <x:c r="H5" s="26"/>
      <x:c r="I5" s="26"/>
      <x:c r="J5" s="26"/>
    </x:row>
    <x:row r="6">
      <x:c r="A6" s="27" t="n">
        <x:v>1</x:v>
      </x:c>
      <x:c r="B6" s="27" t="str">
        <x:v>プロジェクト基本情報を埋める</x:v>
      </x:c>
      <x:c r="C6" s="27" t="str">
        <x:v>01_プロジェクト基本情報</x:v>
      </x:c>
      <x:c r="D6" s="27" t="str">
        <x:v>不足項目を1問ずつ質問させ、回答を該当セルに入力</x:v>
      </x:c>
      <x:c r="E6" s="27" t="str">
        <x:v>目的・期限・関係者・懸念点が正しいか</x:v>
      </x:c>
      <x:c r="F6" s="26"/>
      <x:c r="G6" s="26"/>
      <x:c r="H6" s="26"/>
      <x:c r="I6" s="26"/>
      <x:c r="J6" s="26"/>
    </x:row>
    <x:row r="7">
      <x:c r="A7" s="27" t="n">
        <x:v>2</x:v>
      </x:c>
      <x:c r="B7" s="27" t="str">
        <x:v>初期WBSを作る</x:v>
      </x:c>
      <x:c r="C7" s="27" t="str">
        <x:v>02_WBSテンプレ</x:v>
      </x:c>
      <x:c r="D7" s="27" t="str">
        <x:v>基本情報をもとにWBSの初期案を作成</x:v>
      </x:c>
      <x:c r="E7" s="27" t="str">
        <x:v>タスク粒度、担当、期限、成果物の妥当性</x:v>
      </x:c>
      <x:c r="F7" s="26"/>
      <x:c r="G7" s="26"/>
      <x:c r="H7" s="26"/>
      <x:c r="I7" s="26"/>
      <x:c r="J7" s="26"/>
    </x:row>
    <x:row r="8">
      <x:c r="A8" s="27" t="n">
        <x:v>3</x:v>
      </x:c>
      <x:c r="B8" s="27" t="str">
        <x:v>遅延・リスクを判定する</x:v>
      </x:c>
      <x:c r="C8" s="27" t="str">
        <x:v>02_WBSテンプレ / 03_判定基準</x:v>
      </x:c>
      <x:c r="D8" s="27" t="str">
        <x:v>判定基準を参照してリスク理由・次アクションを補完</x:v>
      </x:c>
      <x:c r="E8" s="27" t="str">
        <x:v>判定が甘すぎないか、エスカレーション要否</x:v>
      </x:c>
      <x:c r="F8" s="26"/>
      <x:c r="G8" s="26"/>
      <x:c r="H8" s="26"/>
      <x:c r="I8" s="26"/>
      <x:c r="J8" s="26"/>
    </x:row>
    <x:row r="9">
      <x:c r="A9" s="27" t="n">
        <x:v>4</x:v>
      </x:c>
      <x:c r="B9" s="27" t="str">
        <x:v>週次ヘルスチェックを作る</x:v>
      </x:c>
      <x:c r="C9" s="27" t="str">
        <x:v>04_週次ヘルスチェック</x:v>
      </x:c>
      <x:c r="D9" s="27" t="str">
        <x:v>KPI・高リスク一覧・確認事項を整理</x:v>
      </x:c>
      <x:c r="E9" s="27" t="str">
        <x:v>週次定例で見るべき論点が出ているか</x:v>
      </x:c>
      <x:c r="F9" s="26"/>
      <x:c r="G9" s="26"/>
      <x:c r="H9" s="26"/>
      <x:c r="I9" s="26"/>
      <x:c r="J9" s="26"/>
    </x:row>
    <x:row r="10">
      <x:c r="A10" s="27" t="n">
        <x:v>5</x:v>
      </x:c>
      <x:c r="B10" s="27" t="str">
        <x:v>週次報告を作る</x:v>
      </x:c>
      <x:c r="C10" s="27" t="str">
        <x:v>05_週次報告</x:v>
      </x:c>
      <x:c r="D10" s="27" t="str">
        <x:v>部長向けの簡潔な報告文を作成</x:v>
      </x:c>
      <x:c r="E10" s="27" t="str">
        <x:v>表現、責任範囲、判断依頼の明確さ</x:v>
      </x:c>
      <x:c r="F10" s="26"/>
      <x:c r="G10" s="26"/>
      <x:c r="H10" s="26"/>
      <x:c r="I10" s="26"/>
      <x:c r="J10" s="26"/>
    </x:row>
    <x:row r="11">
      <x:c r="A11" s="27" t="n">
        <x:v>6</x:v>
      </x:c>
      <x:c r="B11" s="27" t="str">
        <x:v>プロンプトを流用する</x:v>
      </x:c>
      <x:c r="C11" s="27" t="str">
        <x:v>06_Copilotプロンプト例</x:v>
      </x:c>
      <x:c r="D11" s="27" t="str">
        <x:v>コピー用プロンプトを貼り付けて実行</x:v>
      </x:c>
      <x:c r="E11" s="27" t="str">
        <x:v>自社基準・案件名・報告先に合わせて微修正</x:v>
      </x:c>
      <x:c r="F11" s="26"/>
      <x:c r="G11" s="26"/>
      <x:c r="H11" s="26"/>
      <x:c r="I11" s="26"/>
      <x:c r="J11" s="26"/>
    </x:row>
    <x:row r="12">
      <x:c r="A12" s="27" t="n">
        <x:v>7</x:v>
      </x:c>
      <x:c r="B12" s="27" t="str">
        <x:v>仮定回答でテストする</x:v>
      </x:c>
      <x:c r="C12" s="27" t="str">
        <x:v>07_仮定回答サンプル</x:v>
      </x:c>
      <x:c r="D12" s="27" t="str">
        <x:v>Copilotの質問に対してサンプル回答を使う</x:v>
      </x:c>
      <x:c r="E12" s="27" t="str">
        <x:v>会話でテンプレが埋まる流れを確認</x:v>
      </x:c>
      <x:c r="F12" s="26"/>
      <x:c r="G12" s="26"/>
      <x:c r="H12" s="26"/>
      <x:c r="I12" s="26"/>
      <x:c r="J12" s="26"/>
    </x:row>
    <x:row r="13">
      <x:c r="A13" s="39" t="str">
        <x:v>使い方のポイント</x:v>
      </x:c>
      <x:c r="B13" s="39" t="str"/>
      <x:c r="C13" s="39" t="str"/>
      <x:c r="D13" s="39" t="str"/>
      <x:c r="E13" s="39" t="str"/>
      <x:c r="F13" s="39" t="str"/>
      <x:c r="G13" s="39" t="str"/>
      <x:c r="H13" s="39" t="str"/>
      <x:c r="I13" s="39" t="str"/>
      <x:c r="J13" s="39" t="str"/>
    </x:row>
    <x:row r="14">
      <x:c r="A14" s="27" t="str">
        <x:v>1</x:v>
      </x:c>
      <x:c r="B14" s="27" t="str">
        <x:v>Copilotには「推測で埋めず、不足情報は質問する」と明示する。</x:v>
      </x:c>
      <x:c r="C14" s="26"/>
      <x:c r="D14" s="26"/>
      <x:c r="E14" s="26"/>
      <x:c r="F14" s="26"/>
      <x:c r="G14" s="26"/>
      <x:c r="H14" s="26"/>
      <x:c r="I14" s="26"/>
      <x:c r="J14" s="26"/>
    </x:row>
    <x:row r="15">
      <x:c r="A15" s="27" t="str">
        <x:v>2</x:v>
      </x:c>
      <x:c r="B15" s="27" t="str">
        <x:v>判定基準は 03_判定基準 を正とする。会社や案件の基準がある場合はここを先に直す。</x:v>
      </x:c>
      <x:c r="C15" s="26"/>
      <x:c r="D15" s="26"/>
      <x:c r="E15" s="26"/>
      <x:c r="F15" s="26"/>
      <x:c r="G15" s="26"/>
      <x:c r="H15" s="26"/>
      <x:c r="I15" s="26"/>
      <x:c r="J15" s="26"/>
    </x:row>
    <x:row r="16">
      <x:c r="A16" s="27" t="str">
        <x:v>3</x:v>
      </x:c>
      <x:c r="B16" s="27" t="str">
        <x:v>02_WBSテンプレの左側は入力・生成対象、右側は判定・コメント対象。判定列はCopilotで上書きしてもよい。</x:v>
      </x:c>
      <x:c r="C16" s="26"/>
      <x:c r="D16" s="26"/>
      <x:c r="E16" s="26"/>
      <x:c r="F16" s="26"/>
      <x:c r="G16" s="26"/>
      <x:c r="H16" s="26"/>
      <x:c r="I16" s="26"/>
      <x:c r="J16" s="26"/>
    </x:row>
    <x:row r="17">
      <x:c r="A17" s="27" t="str">
        <x:v>4</x:v>
      </x:c>
      <x:c r="B17" s="27" t="str">
        <x:v>05_週次報告は、そのまま送るのではなく、PMOが最終確認してから利用する。</x:v>
      </x:c>
      <x:c r="C17" s="26"/>
      <x:c r="D17" s="26"/>
      <x:c r="E17" s="26"/>
      <x:c r="F17" s="26"/>
      <x:c r="G17" s="26"/>
      <x:c r="H17" s="26"/>
      <x:c r="I17" s="26"/>
      <x:c r="J17" s="26"/>
    </x:row>
    <x:row r="18">
      <x:c r="A18" s="26"/>
      <x:c r="B18" s="26"/>
      <x:c r="C18" s="26"/>
      <x:c r="D18" s="26"/>
      <x:c r="E18" s="26"/>
      <x:c r="F18" s="26"/>
      <x:c r="G18" s="26"/>
      <x:c r="H18" s="26"/>
      <x:c r="I18" s="26"/>
      <x:c r="J18" s="26"/>
    </x:row>
    <x:row r="19">
      <x:c r="A19" s="26"/>
      <x:c r="B19" s="26"/>
      <x:c r="C19" s="26"/>
      <x:c r="D19" s="26"/>
      <x:c r="E19" s="26"/>
      <x:c r="F19" s="26"/>
      <x:c r="G19" s="26"/>
      <x:c r="H19" s="26"/>
      <x:c r="I19" s="26"/>
      <x:c r="J19" s="26"/>
    </x:row>
    <x:row r="20">
      <x:c r="A20" s="26"/>
      <x:c r="B20" s="26"/>
      <x:c r="C20" s="26"/>
      <x:c r="D20" s="26"/>
      <x:c r="E20" s="26"/>
      <x:c r="F20" s="26"/>
      <x:c r="G20" s="26"/>
      <x:c r="H20" s="26"/>
      <x:c r="I20" s="26"/>
      <x:c r="J20" s="26"/>
    </x:row>
  </x:sheetData>
  <x:mergeCells>
    <x:mergeCell ref="A1:J1"/>
    <x:mergeCell ref="A13:J13"/>
    <x:mergeCell ref="A3:J3"/>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2" hidden="0" customWidth="1"/>
    <x:col min="3" max="3" width="42" hidden="0" customWidth="1"/>
    <x:col min="4" max="4" width="42" hidden="0" customWidth="1"/>
    <x:col min="5" max="5" width="10" hidden="0" customWidth="1"/>
    <x:col min="6" max="6" width="42" hidden="0" customWidth="1"/>
  </x:cols>
  <x:sheetData>
    <x:row r="1" ht="30" customHeight="1">
      <x:c r="A1" s="5" t="str">
        <x:v>01_プロジェクト基本情報｜Copilotとの会話で埋める入力シート</x:v>
      </x:c>
      <x:c r="B1" s="5"/>
      <x:c r="C1" s="5"/>
      <x:c r="D1" s="5"/>
      <x:c r="E1" s="5"/>
      <x:c r="F1" s="5"/>
    </x:row>
    <x:row r="3" ht="45" customHeight="1">
      <x:c r="A3" s="112" t="str">
        <x:v>まずこのシートをCopilotに埋めてもらいます。ユーザーはExcelに直接入力せず、Copilotからの質問に答え、Copilotが入力欄を更新する流れを想定しています。</x:v>
      </x:c>
      <x:c r="B3" s="112"/>
      <x:c r="C3" s="112"/>
      <x:c r="D3" s="112"/>
      <x:c r="E3" s="112"/>
      <x:c r="F3" s="112"/>
    </x:row>
    <x:row r="5">
      <x:c r="A5" s="21" t="str">
        <x:v>区分</x:v>
      </x:c>
      <x:c r="B5" s="21" t="str">
        <x:v>項目</x:v>
      </x:c>
      <x:c r="C5" s="21" t="str">
        <x:v>入力欄</x:v>
      </x:c>
      <x:c r="D5" s="21" t="str">
        <x:v>入力例</x:v>
      </x:c>
      <x:c r="E5" s="21" t="str">
        <x:v>必須</x:v>
      </x:c>
      <x:c r="F5" s="21" t="str">
        <x:v>メモ / Copilotへの補足</x:v>
      </x:c>
    </x:row>
    <x:row r="6">
      <x:c r="A6" s="27" t="str">
        <x:v>基本</x:v>
      </x:c>
      <x:c r="B6" s="27" t="str">
        <x:v>プロジェクト名</x:v>
      </x:c>
      <x:c r="C6" s="42" t="str"/>
      <x:c r="D6" s="45" t="str">
        <x:v>顧客管理刷新プロジェクト</x:v>
      </x:c>
      <x:c r="E6" s="27" t="str">
        <x:v>必須</x:v>
      </x:c>
      <x:c r="F6" s="44" t="str">
        <x:v>正式名称。略称があれば併記。</x:v>
      </x:c>
    </x:row>
    <x:row r="7">
      <x:c r="A7" s="27" t="str">
        <x:v>基本</x:v>
      </x:c>
      <x:c r="B7" s="27" t="str">
        <x:v>プロジェクト目的</x:v>
      </x:c>
      <x:c r="C7" s="42" t="str"/>
      <x:c r="D7" s="45" t="str">
        <x:v>顧客情報を一元管理し、営業・CSの検索性と対応速度を上げる</x:v>
      </x:c>
      <x:c r="E7" s="27" t="str">
        <x:v>必須</x:v>
      </x:c>
      <x:c r="F7" s="44" t="str">
        <x:v>成果・業務価値が分かる表現にする。</x:v>
      </x:c>
    </x:row>
    <x:row r="8">
      <x:c r="A8" s="27" t="str">
        <x:v>基本</x:v>
      </x:c>
      <x:c r="B8" s="27" t="str">
        <x:v>背景 / 課題</x:v>
      </x:c>
      <x:c r="C8" s="42" t="str"/>
      <x:c r="D8" s="45" t="str">
        <x:v>顧客情報が部署ごとに分散し、最新情報の確認に時間がかかっている</x:v>
      </x:c>
      <x:c r="E8" s="27" t="str">
        <x:v>任意</x:v>
      </x:c>
      <x:c r="F8" s="44" t="str">
        <x:v>現状課題。報告文の文脈に使う。</x:v>
      </x:c>
    </x:row>
    <x:row r="9">
      <x:c r="A9" s="27" t="str">
        <x:v>範囲</x:v>
      </x:c>
      <x:c r="B9" s="27" t="str">
        <x:v>スコープ</x:v>
      </x:c>
      <x:c r="C9" s="42" t="str"/>
      <x:c r="D9" s="45" t="str">
        <x:v>営業・CS部門の顧客情報管理、検索画面、権限設計</x:v>
      </x:c>
      <x:c r="E9" s="27" t="str">
        <x:v>必須</x:v>
      </x:c>
      <x:c r="F9" s="44" t="str">
        <x:v>対象業務・対象部門・対象システム。</x:v>
      </x:c>
    </x:row>
    <x:row r="10">
      <x:c r="A10" s="27" t="str">
        <x:v>範囲</x:v>
      </x:c>
      <x:c r="B10" s="27" t="str">
        <x:v>スコープ外</x:v>
      </x:c>
      <x:c r="C10" s="42" t="str"/>
      <x:c r="D10" s="45" t="str">
        <x:v>基幹CRMの全面刷新、外部顧客向けポータル</x:v>
      </x:c>
      <x:c r="E10" s="27" t="str">
        <x:v>任意</x:v>
      </x:c>
      <x:c r="F10" s="44" t="str">
        <x:v>期待値調整に使う。</x:v>
      </x:c>
    </x:row>
    <x:row r="11">
      <x:c r="A11" s="27" t="str">
        <x:v>日程</x:v>
      </x:c>
      <x:c r="B11" s="27" t="str">
        <x:v>開始日</x:v>
      </x:c>
      <x:c r="C11" s="48" t="str"/>
      <x:c r="D11" s="50" t="n">
        <x:v>46174</x:v>
      </x:c>
      <x:c r="E11" s="27" t="str">
        <x:v>任意</x:v>
      </x:c>
      <x:c r="F11" s="44" t="str">
        <x:v>分かる範囲で入力。</x:v>
      </x:c>
    </x:row>
    <x:row r="12">
      <x:c r="A12" s="27" t="str">
        <x:v>日程</x:v>
      </x:c>
      <x:c r="B12" s="27" t="str">
        <x:v>最終期限</x:v>
      </x:c>
      <x:c r="C12" s="48" t="str"/>
      <x:c r="D12" s="50" t="n">
        <x:v>46265</x:v>
      </x:c>
      <x:c r="E12" s="27" t="str">
        <x:v>必須</x:v>
      </x:c>
      <x:c r="F12" s="44" t="str">
        <x:v>リリースまたは完了予定日。</x:v>
      </x:c>
    </x:row>
    <x:row r="13">
      <x:c r="A13" s="27" t="str">
        <x:v>日程</x:v>
      </x:c>
      <x:c r="B13" s="27" t="str">
        <x:v>現在フェーズ</x:v>
      </x:c>
      <x:c r="C13" s="42" t="str"/>
      <x:c r="D13" s="45" t="str">
        <x:v>要件定義</x:v>
      </x:c>
      <x:c r="E13" s="27" t="str">
        <x:v>必須</x:v>
      </x:c>
      <x:c r="F13" s="44" t="str">
        <x:v>立ち上げ / 要件定義 / 設計 / 構築 / テスト / リリース / 定着化。</x:v>
      </x:c>
    </x:row>
    <x:row r="14">
      <x:c r="A14" s="27" t="str">
        <x:v>日程</x:v>
      </x:c>
      <x:c r="B14" s="27" t="str">
        <x:v>次のマイルストーン</x:v>
      </x:c>
      <x:c r="C14" s="42" t="str"/>
      <x:c r="D14" s="45" t="str">
        <x:v>要件一覧レビュー</x:v>
      </x:c>
      <x:c r="E14" s="27" t="str">
        <x:v>必須</x:v>
      </x:c>
      <x:c r="F14" s="44" t="str">
        <x:v>直近の意思決定・レビュー・成果物。</x:v>
      </x:c>
    </x:row>
    <x:row r="15">
      <x:c r="A15" s="27" t="str">
        <x:v>日程</x:v>
      </x:c>
      <x:c r="B15" s="27" t="str">
        <x:v>マイルストーン日</x:v>
      </x:c>
      <x:c r="C15" s="48" t="str"/>
      <x:c r="D15" s="50" t="n">
        <x:v>46199</x:v>
      </x:c>
      <x:c r="E15" s="27" t="str">
        <x:v>必須</x:v>
      </x:c>
      <x:c r="F15" s="44" t="str">
        <x:v>週次ヘルスチェックで使用。</x:v>
      </x:c>
    </x:row>
    <x:row r="16">
      <x:c r="A16" s="27" t="str">
        <x:v>体制</x:v>
      </x:c>
      <x:c r="B16" s="27" t="str">
        <x:v>PM</x:v>
      </x:c>
      <x:c r="C16" s="42" t="str"/>
      <x:c r="D16" s="45" t="str">
        <x:v>佐藤</x:v>
      </x:c>
      <x:c r="E16" s="27" t="str">
        <x:v>必須</x:v>
      </x:c>
      <x:c r="F16" s="44" t="str">
        <x:v>プロジェクト責任者。</x:v>
      </x:c>
    </x:row>
    <x:row r="17">
      <x:c r="A17" s="27" t="str">
        <x:v>体制</x:v>
      </x:c>
      <x:c r="B17" s="27" t="str">
        <x:v>PMO</x:v>
      </x:c>
      <x:c r="C17" s="42" t="str"/>
      <x:c r="D17" s="45" t="str">
        <x:v>自分</x:v>
      </x:c>
      <x:c r="E17" s="27" t="str">
        <x:v>必須</x:v>
      </x:c>
      <x:c r="F17" s="44" t="str">
        <x:v>週次管理・報告を担う人。</x:v>
      </x:c>
    </x:row>
    <x:row r="18">
      <x:c r="A18" s="27" t="str">
        <x:v>体制</x:v>
      </x:c>
      <x:c r="B18" s="27" t="str">
        <x:v>主要関係者</x:v>
      </x:c>
      <x:c r="C18" s="42" t="str"/>
      <x:c r="D18" s="45" t="str">
        <x:v>営業部、CS部、情報システム部、外部ベンダー</x:v>
      </x:c>
      <x:c r="E18" s="27" t="str">
        <x:v>必須</x:v>
      </x:c>
      <x:c r="F18" s="44" t="str">
        <x:v>部門・役割で書く。</x:v>
      </x:c>
    </x:row>
    <x:row r="19">
      <x:c r="A19" s="27" t="str">
        <x:v>体制</x:v>
      </x:c>
      <x:c r="B19" s="27" t="str">
        <x:v>報告先</x:v>
      </x:c>
      <x:c r="C19" s="42" t="str"/>
      <x:c r="D19" s="45" t="str">
        <x:v>部長、プロジェクトオーナー</x:v>
      </x:c>
      <x:c r="E19" s="27" t="str">
        <x:v>必須</x:v>
      </x:c>
      <x:c r="F19" s="44" t="str">
        <x:v>05_週次報告の宛先粒度に使う。</x:v>
      </x:c>
    </x:row>
    <x:row r="20">
      <x:c r="A20" s="27" t="str">
        <x:v>今週</x:v>
      </x:c>
      <x:c r="B20" s="27" t="str">
        <x:v>今週の状況</x:v>
      </x:c>
      <x:c r="C20" s="42" t="str"/>
      <x:c r="D20" s="45" t="str">
        <x:v>営業部ヒアリングは完了。CS部の日程調整が遅れている</x:v>
      </x:c>
      <x:c r="E20" s="27" t="str">
        <x:v>必須</x:v>
      </x:c>
      <x:c r="F20" s="44" t="str">
        <x:v>CopilotがWBS・リスク判定の材料にする。</x:v>
      </x:c>
    </x:row>
    <x:row r="21">
      <x:c r="A21" s="27" t="str">
        <x:v>今週</x:v>
      </x:c>
      <x:c r="B21" s="27" t="str">
        <x:v>今週の成果</x:v>
      </x:c>
      <x:c r="C21" s="42" t="str"/>
      <x:c r="D21" s="45" t="str">
        <x:v>営業部の業務フローと主要項目を整理済み</x:v>
      </x:c>
      <x:c r="E21" s="27" t="str">
        <x:v>任意</x:v>
      </x:c>
      <x:c r="F21" s="44" t="str">
        <x:v>報告のポジティブ要素。</x:v>
      </x:c>
    </x:row>
    <x:row r="22">
      <x:c r="A22" s="27" t="str">
        <x:v>今週</x:v>
      </x:c>
      <x:c r="B22" s="27" t="str">
        <x:v>懸念点</x:v>
      </x:c>
      <x:c r="C22" s="42" t="str"/>
      <x:c r="D22" s="45" t="str">
        <x:v>CS部の日程調整遅延により、要件一覧レビューが後ろ倒しになる可能性</x:v>
      </x:c>
      <x:c r="E22" s="27" t="str">
        <x:v>必須</x:v>
      </x:c>
      <x:c r="F22" s="44" t="str">
        <x:v>リスク判定に使う。</x:v>
      </x:c>
    </x:row>
    <x:row r="23">
      <x:c r="A23" s="27" t="str">
        <x:v>今週</x:v>
      </x:c>
      <x:c r="B23" s="27" t="str">
        <x:v>判断が必要な事項</x:v>
      </x:c>
      <x:c r="C23" s="42" t="str"/>
      <x:c r="D23" s="45" t="str">
        <x:v>CS部ヒアリングを部長経由で調整するか</x:v>
      </x:c>
      <x:c r="E23" s="27" t="str">
        <x:v>任意</x:v>
      </x:c>
      <x:c r="F23" s="44" t="str">
        <x:v>エスカレーション候補。</x:v>
      </x:c>
    </x:row>
    <x:row r="24">
      <x:c r="A24" s="27" t="str">
        <x:v>今週</x:v>
      </x:c>
      <x:c r="B24" s="27" t="str">
        <x:v>依存関係</x:v>
      </x:c>
      <x:c r="C24" s="42" t="str"/>
      <x:c r="D24" s="45" t="str">
        <x:v>CS部ヒアリング完了後に画面設計を開始</x:v>
      </x:c>
      <x:c r="E24" s="27" t="str">
        <x:v>任意</x:v>
      </x:c>
      <x:c r="F24" s="44" t="str">
        <x:v>前工程待ちの判定材料。</x:v>
      </x:c>
    </x:row>
    <x:row r="25">
      <x:c r="A25" s="27" t="str">
        <x:v>今週</x:v>
      </x:c>
      <x:c r="B25" s="27" t="str">
        <x:v>来週の予定</x:v>
      </x:c>
      <x:c r="C25" s="42" t="str"/>
      <x:c r="D25" s="45" t="str">
        <x:v>CS部ヒアリング、要件一覧レビュー、画面設計準備</x:v>
      </x:c>
      <x:c r="E25" s="27" t="str">
        <x:v>必須</x:v>
      </x:c>
      <x:c r="F25" s="44" t="str">
        <x:v>次アクション生成に使う。</x:v>
      </x:c>
    </x:row>
    <x:row r="26">
      <x:c r="A26" s="27" t="str">
        <x:v>管理</x:v>
      </x:c>
      <x:c r="B26" s="27" t="str">
        <x:v>更新日</x:v>
      </x:c>
      <x:c r="C26" s="48" t="str"/>
      <x:c r="D26" s="50" t="n">
        <x:v>46195</x:v>
      </x:c>
      <x:c r="E26" s="27" t="str">
        <x:v>任意</x:v>
      </x:c>
      <x:c r="F26" s="44" t="str">
        <x:v>週次報告の基準日。</x:v>
      </x:c>
    </x:row>
    <x:row r="27">
      <x:c r="A27" s="27" t="str">
        <x:v>管理</x:v>
      </x:c>
      <x:c r="B27" s="27" t="str">
        <x:v>全体ステータス</x:v>
      </x:c>
      <x:c r="C27" s="42" t="str"/>
      <x:c r="D27" s="45" t="str">
        <x:v>黄</x:v>
      </x:c>
      <x:c r="E27" s="27" t="str">
        <x:v>任意</x:v>
      </x:c>
      <x:c r="F27" s="44" t="str">
        <x:v>赤 / 黄 / 緑。Copilotが後で更新してもよい。</x:v>
      </x:c>
    </x:row>
  </x:sheetData>
  <x:mergeCells>
    <x:mergeCell ref="A1:F1"/>
    <x:mergeCell ref="A3:F3"/>
  </x:mergeCells>
  <x:dataValidations count="2">
    <x:dataValidation type="list" sqref="C13">
      <x:formula1>"立ち上げ,要件定義,設計,構築,テスト,リリース,定着化"</x:formula1>
    </x:dataValidation>
    <x:dataValidation type="list" sqref="C27">
      <x:formula1>"赤,黄,緑"</x:formula1>
    </x:dataValidation>
  </x:dataValidations>
  <x:pageMargins left="0.7" right="0.7" top="0.75" bottom="0.75" header="0.3" footer="0.3"/>
  <x:tableParts count="1">
    <x:tablePart xmlns:r="http://schemas.openxmlformats.org/officeDocument/2006/relationships" r:id="Rf76af3728aa6446d"/>
  </x:tableParts>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18" hidden="0" customWidth="1"/>
    <x:col min="5" max="5" width="26" hidden="0" customWidth="1"/>
    <x:col min="6" max="6" width="24" hidden="0" customWidth="1"/>
    <x:col min="7" max="7" width="28" hidden="0" customWidth="1"/>
    <x:col min="8" max="8" width="12" hidden="0" customWidth="1"/>
    <x:col min="9" max="9" width="13" hidden="0" customWidth="1"/>
    <x:col min="10" max="10" width="13" hidden="0" customWidth="1"/>
    <x:col min="11" max="11" width="10" hidden="0" customWidth="1"/>
    <x:col min="12" max="12" width="12" hidden="0" customWidth="1"/>
    <x:col min="13" max="13" width="10" hidden="0" customWidth="1"/>
    <x:col min="14" max="14" width="36" hidden="0" customWidth="1"/>
    <x:col min="15" max="15" width="13" hidden="0" customWidth="1"/>
    <x:col min="16" max="16" width="14" hidden="0" customWidth="1"/>
    <x:col min="17" max="17" width="12" hidden="0" customWidth="1"/>
    <x:col min="18" max="18" width="26" hidden="0" customWidth="1"/>
    <x:col min="19" max="19" width="16" hidden="0" customWidth="1"/>
    <x:col min="20" max="20" width="34" hidden="0" customWidth="1"/>
    <x:col min="21" max="21" width="34" hidden="0" customWidth="1"/>
    <x:col min="22" max="22" width="16" hidden="0" customWidth="1"/>
    <x:col min="23" max="23" width="34" hidden="0" customWidth="1"/>
  </x:cols>
  <x:sheetData>
    <x:row r="1" ht="30" customHeight="1">
      <x:c r="A1" s="5" t="str">
        <x:v>02_WBSテンプレ｜Copilotに作成・補完してもらうWBS</x:v>
      </x:c>
      <x:c r="B1" s="5"/>
      <x:c r="C1" s="5"/>
      <x:c r="D1" s="5"/>
      <x:c r="E1" s="5"/>
      <x:c r="F1" s="5"/>
      <x:c r="G1" s="5"/>
      <x:c r="H1" s="5"/>
      <x:c r="I1" s="5"/>
      <x:c r="J1" s="5"/>
      <x:c r="K1" s="5"/>
      <x:c r="L1" s="5"/>
      <x:c r="M1" s="5"/>
      <x:c r="N1" s="5"/>
      <x:c r="O1" s="5"/>
      <x:c r="P1" s="5"/>
      <x:c r="Q1" s="5"/>
      <x:c r="R1" s="5"/>
      <x:c r="S1" s="5"/>
      <x:c r="T1" s="5"/>
      <x:c r="U1" s="5"/>
      <x:c r="V1" s="5"/>
      <x:c r="W1" s="5"/>
    </x:row>
    <x:row r="3" ht="45" customHeight="1">
      <x:c r="A3" s="112" t="str">
        <x:v>左側の入力列はCopilotが会話内容から作成・補完します。右側の判定列は、03_判定基準をもとにCopilotが埋める想定です。P〜S列には簡易判定式も入れてあります。必要に応じてCopilotで上書きしてください。</x:v>
      </x:c>
      <x:c r="B3" s="112"/>
      <x:c r="C3" s="112"/>
      <x:c r="D3" s="112"/>
      <x:c r="E3" s="112"/>
      <x:c r="F3" s="112"/>
      <x:c r="G3" s="112"/>
      <x:c r="H3" s="112"/>
      <x:c r="I3" s="112"/>
      <x:c r="J3" s="112"/>
      <x:c r="K3" s="112"/>
      <x:c r="L3" s="112"/>
      <x:c r="M3" s="112"/>
      <x:c r="N3" s="112"/>
      <x:c r="O3" s="112"/>
      <x:c r="P3" s="112"/>
      <x:c r="Q3" s="112"/>
      <x:c r="R3" s="112"/>
      <x:c r="S3" s="112"/>
      <x:c r="T3" s="112"/>
      <x:c r="U3" s="112"/>
      <x:c r="V3" s="112"/>
      <x:c r="W3" s="112"/>
    </x:row>
    <x:row r="5">
      <x:c r="A5" s="21" t="str">
        <x:v>WBS ID</x:v>
      </x:c>
      <x:c r="B5" s="21" t="str">
        <x:v>プロジェクト/領域</x:v>
      </x:c>
      <x:c r="C5" s="21" t="str">
        <x:v>工程</x:v>
      </x:c>
      <x:c r="D5" s="21" t="str">
        <x:v>マイルストーン</x:v>
      </x:c>
      <x:c r="E5" s="21" t="str">
        <x:v>タスク名</x:v>
      </x:c>
      <x:c r="F5" s="21" t="str">
        <x:v>成果物</x:v>
      </x:c>
      <x:c r="G5" s="21" t="str">
        <x:v>確認観点</x:v>
      </x:c>
      <x:c r="H5" s="21" t="str">
        <x:v>担当</x:v>
      </x:c>
      <x:c r="I5" s="21" t="str">
        <x:v>開始予定日</x:v>
      </x:c>
      <x:c r="J5" s="21" t="str">
        <x:v>期限</x:v>
      </x:c>
      <x:c r="K5" s="21" t="str">
        <x:v>進捗率</x:v>
      </x:c>
      <x:c r="L5" s="21" t="str">
        <x:v>ステータス</x:v>
      </x:c>
      <x:c r="M5" s="21" t="str">
        <x:v>重要度</x:v>
      </x:c>
      <x:c r="N5" s="21" t="str">
        <x:v>課題メモ</x:v>
      </x:c>
      <x:c r="O5" s="21" t="str">
        <x:v>最終更新日</x:v>
      </x:c>
      <x:c r="P5" s="21" t="str">
        <x:v>遅延判定</x:v>
      </x:c>
      <x:c r="Q5" s="21" t="str">
        <x:v>リスクレベル</x:v>
      </x:c>
      <x:c r="R5" s="21" t="str">
        <x:v>リスク理由</x:v>
      </x:c>
      <x:c r="S5" s="21" t="str">
        <x:v>エスカレーション要否</x:v>
      </x:c>
      <x:c r="T5" s="21" t="str">
        <x:v>PMOコメント</x:v>
      </x:c>
      <x:c r="U5" s="21" t="str">
        <x:v>次アクション</x:v>
      </x:c>
      <x:c r="V5" s="21" t="str">
        <x:v>確認先</x:v>
      </x:c>
      <x:c r="W5" s="21" t="str">
        <x:v>Copilot質問メモ</x:v>
      </x:c>
    </x:row>
    <x:row r="6">
      <x:c r="A6" s="27" t="str"/>
      <x:c r="B6" s="27" t="str"/>
      <x:c r="C6" s="27" t="str"/>
      <x:c r="D6" s="27" t="str"/>
      <x:c r="E6" s="27" t="str"/>
      <x:c r="F6" s="27" t="str"/>
      <x:c r="G6" s="27" t="str"/>
      <x:c r="H6" s="27" t="str"/>
      <x:c r="I6" s="52" t="str"/>
      <x:c r="J6" s="52" t="str"/>
      <x:c r="K6" s="54" t="str"/>
      <x:c r="L6" s="27" t="str"/>
      <x:c r="M6" s="27" t="str"/>
      <x:c r="N6" s="27" t="str"/>
      <x:c r="O6" s="52" t="str"/>
      <x:c r="P6" s="27" t="str">
        <x:f>IF($E6="","",IF($L6="完了","完了",IF($J6="","未判定",IF($J6&lt;TODAY(),"遅延",IF(AND($J6&lt;=WORKDAY(TODAY(),3),$K6&lt;0.5),"遅延予兆","予定内")))))</x:f>
      </x:c>
      <x:c r="Q6" s="27" t="str">
        <x:f>IF($E6="","",IF($L6="完了","低",IF(OR($P6="遅延",AND($M6="高",OR(ISNUMBER(SEARCH("遅延",$N6)),ISNUMBER(SEARCH("未完了",$N6)),ISNUMBER(SEARCH("待ち",$N6)),ISNUMBER(SEARCH("調整",$N6)),ISNUMBER(SEARCH("不明",$N6))))),"高",IF(OR($P6="遅延予兆",$K6&lt;0.5,ISNUMBER(SEARCH("レビュー待ち",$N6)),ISNUMBER(SEARCH("前工程",$N6))),"中","低"))))</x:f>
      </x:c>
      <x:c r="R6" s="27" t="str">
        <x:f>IF($E6="","",IF($P6="遅延","期限超過",IF($Q6="高","重要度高または阻害要因あり",IF($Q6="中","進捗・待ち状況に注意","大きな懸念なし"))))</x:f>
      </x:c>
      <x:c r="S6" s="27" t="str">
        <x:f>IF($E6="","",IF(OR($Q6="高",$P6="遅延"),"要","不要"))</x:f>
      </x:c>
      <x:c r="T6" s="27" t="str"/>
      <x:c r="U6" s="27" t="str"/>
      <x:c r="V6" s="27" t="str"/>
      <x:c r="W6" s="27" t="str"/>
    </x:row>
    <x:row r="7">
      <x:c r="A7" s="27" t="str"/>
      <x:c r="B7" s="27" t="str"/>
      <x:c r="C7" s="27" t="str"/>
      <x:c r="D7" s="27" t="str"/>
      <x:c r="E7" s="27" t="str"/>
      <x:c r="F7" s="27" t="str"/>
      <x:c r="G7" s="27" t="str"/>
      <x:c r="H7" s="27" t="str"/>
      <x:c r="I7" s="52" t="str"/>
      <x:c r="J7" s="52" t="str"/>
      <x:c r="K7" s="54" t="str"/>
      <x:c r="L7" s="27" t="str"/>
      <x:c r="M7" s="27" t="str"/>
      <x:c r="N7" s="27" t="str"/>
      <x:c r="O7" s="52" t="str"/>
      <x:c r="P7" s="27" t="str">
        <x:f>IF($E7="","",IF($L7="完了","完了",IF($J7="","未判定",IF($J7&lt;TODAY(),"遅延",IF(AND($J7&lt;=WORKDAY(TODAY(),3),$K7&lt;0.5),"遅延予兆","予定内")))))</x:f>
      </x:c>
      <x:c r="Q7" s="27" t="str">
        <x:f>IF($E7="","",IF($L7="完了","低",IF(OR($P7="遅延",AND($M7="高",OR(ISNUMBER(SEARCH("遅延",$N7)),ISNUMBER(SEARCH("未完了",$N7)),ISNUMBER(SEARCH("待ち",$N7)),ISNUMBER(SEARCH("調整",$N7)),ISNUMBER(SEARCH("不明",$N7))))),"高",IF(OR($P7="遅延予兆",$K7&lt;0.5,ISNUMBER(SEARCH("レビュー待ち",$N7)),ISNUMBER(SEARCH("前工程",$N7))),"中","低"))))</x:f>
      </x:c>
      <x:c r="R7" s="27" t="str">
        <x:f>IF($E7="","",IF($P7="遅延","期限超過",IF($Q7="高","重要度高または阻害要因あり",IF($Q7="中","進捗・待ち状況に注意","大きな懸念なし"))))</x:f>
      </x:c>
      <x:c r="S7" s="27" t="str">
        <x:f>IF($E7="","",IF(OR($Q7="高",$P7="遅延"),"要","不要"))</x:f>
      </x:c>
      <x:c r="T7" s="27" t="str"/>
      <x:c r="U7" s="27" t="str"/>
      <x:c r="V7" s="27" t="str"/>
      <x:c r="W7" s="27" t="str"/>
    </x:row>
    <x:row r="8">
      <x:c r="A8" s="27" t="str"/>
      <x:c r="B8" s="27" t="str"/>
      <x:c r="C8" s="27" t="str"/>
      <x:c r="D8" s="27" t="str"/>
      <x:c r="E8" s="27" t="str"/>
      <x:c r="F8" s="27" t="str"/>
      <x:c r="G8" s="27" t="str"/>
      <x:c r="H8" s="27" t="str"/>
      <x:c r="I8" s="52" t="str"/>
      <x:c r="J8" s="52" t="str"/>
      <x:c r="K8" s="54" t="str"/>
      <x:c r="L8" s="27" t="str"/>
      <x:c r="M8" s="27" t="str"/>
      <x:c r="N8" s="27" t="str"/>
      <x:c r="O8" s="52" t="str"/>
      <x:c r="P8" s="27" t="str">
        <x:f>IF($E8="","",IF($L8="完了","完了",IF($J8="","未判定",IF($J8&lt;TODAY(),"遅延",IF(AND($J8&lt;=WORKDAY(TODAY(),3),$K8&lt;0.5),"遅延予兆","予定内")))))</x:f>
      </x:c>
      <x:c r="Q8" s="27" t="str">
        <x:f>IF($E8="","",IF($L8="完了","低",IF(OR($P8="遅延",AND($M8="高",OR(ISNUMBER(SEARCH("遅延",$N8)),ISNUMBER(SEARCH("未完了",$N8)),ISNUMBER(SEARCH("待ち",$N8)),ISNUMBER(SEARCH("調整",$N8)),ISNUMBER(SEARCH("不明",$N8))))),"高",IF(OR($P8="遅延予兆",$K8&lt;0.5,ISNUMBER(SEARCH("レビュー待ち",$N8)),ISNUMBER(SEARCH("前工程",$N8))),"中","低"))))</x:f>
      </x:c>
      <x:c r="R8" s="27" t="str">
        <x:f>IF($E8="","",IF($P8="遅延","期限超過",IF($Q8="高","重要度高または阻害要因あり",IF($Q8="中","進捗・待ち状況に注意","大きな懸念なし"))))</x:f>
      </x:c>
      <x:c r="S8" s="27" t="str">
        <x:f>IF($E8="","",IF(OR($Q8="高",$P8="遅延"),"要","不要"))</x:f>
      </x:c>
      <x:c r="T8" s="27" t="str"/>
      <x:c r="U8" s="27" t="str"/>
      <x:c r="V8" s="27" t="str"/>
      <x:c r="W8" s="27" t="str"/>
    </x:row>
    <x:row r="9">
      <x:c r="A9" s="27" t="str"/>
      <x:c r="B9" s="27" t="str"/>
      <x:c r="C9" s="27" t="str"/>
      <x:c r="D9" s="27" t="str"/>
      <x:c r="E9" s="27" t="str"/>
      <x:c r="F9" s="27" t="str"/>
      <x:c r="G9" s="27" t="str"/>
      <x:c r="H9" s="27" t="str"/>
      <x:c r="I9" s="52" t="str"/>
      <x:c r="J9" s="52" t="str"/>
      <x:c r="K9" s="54" t="str"/>
      <x:c r="L9" s="27" t="str"/>
      <x:c r="M9" s="27" t="str"/>
      <x:c r="N9" s="27" t="str"/>
      <x:c r="O9" s="52" t="str"/>
      <x:c r="P9" s="27" t="str">
        <x:f>IF($E9="","",IF($L9="完了","完了",IF($J9="","未判定",IF($J9&lt;TODAY(),"遅延",IF(AND($J9&lt;=WORKDAY(TODAY(),3),$K9&lt;0.5),"遅延予兆","予定内")))))</x:f>
      </x:c>
      <x:c r="Q9" s="27" t="str">
        <x:f>IF($E9="","",IF($L9="完了","低",IF(OR($P9="遅延",AND($M9="高",OR(ISNUMBER(SEARCH("遅延",$N9)),ISNUMBER(SEARCH("未完了",$N9)),ISNUMBER(SEARCH("待ち",$N9)),ISNUMBER(SEARCH("調整",$N9)),ISNUMBER(SEARCH("不明",$N9))))),"高",IF(OR($P9="遅延予兆",$K9&lt;0.5,ISNUMBER(SEARCH("レビュー待ち",$N9)),ISNUMBER(SEARCH("前工程",$N9))),"中","低"))))</x:f>
      </x:c>
      <x:c r="R9" s="27" t="str">
        <x:f>IF($E9="","",IF($P9="遅延","期限超過",IF($Q9="高","重要度高または阻害要因あり",IF($Q9="中","進捗・待ち状況に注意","大きな懸念なし"))))</x:f>
      </x:c>
      <x:c r="S9" s="27" t="str">
        <x:f>IF($E9="","",IF(OR($Q9="高",$P9="遅延"),"要","不要"))</x:f>
      </x:c>
      <x:c r="T9" s="27" t="str"/>
      <x:c r="U9" s="27" t="str"/>
      <x:c r="V9" s="27" t="str"/>
      <x:c r="W9" s="27" t="str"/>
    </x:row>
    <x:row r="10">
      <x:c r="A10" s="27" t="str"/>
      <x:c r="B10" s="27" t="str"/>
      <x:c r="C10" s="27" t="str"/>
      <x:c r="D10" s="27" t="str"/>
      <x:c r="E10" s="27" t="str"/>
      <x:c r="F10" s="27" t="str"/>
      <x:c r="G10" s="27" t="str"/>
      <x:c r="H10" s="27" t="str"/>
      <x:c r="I10" s="52" t="str"/>
      <x:c r="J10" s="52" t="str"/>
      <x:c r="K10" s="54" t="str"/>
      <x:c r="L10" s="27" t="str"/>
      <x:c r="M10" s="27" t="str"/>
      <x:c r="N10" s="27" t="str"/>
      <x:c r="O10" s="52" t="str"/>
      <x:c r="P10" s="27" t="str">
        <x:f>IF($E10="","",IF($L10="完了","完了",IF($J10="","未判定",IF($J10&lt;TODAY(),"遅延",IF(AND($J10&lt;=WORKDAY(TODAY(),3),$K10&lt;0.5),"遅延予兆","予定内")))))</x:f>
      </x:c>
      <x:c r="Q10" s="27" t="str">
        <x:f>IF($E10="","",IF($L10="完了","低",IF(OR($P10="遅延",AND($M10="高",OR(ISNUMBER(SEARCH("遅延",$N10)),ISNUMBER(SEARCH("未完了",$N10)),ISNUMBER(SEARCH("待ち",$N10)),ISNUMBER(SEARCH("調整",$N10)),ISNUMBER(SEARCH("不明",$N10))))),"高",IF(OR($P10="遅延予兆",$K10&lt;0.5,ISNUMBER(SEARCH("レビュー待ち",$N10)),ISNUMBER(SEARCH("前工程",$N10))),"中","低"))))</x:f>
      </x:c>
      <x:c r="R10" s="27" t="str">
        <x:f>IF($E10="","",IF($P10="遅延","期限超過",IF($Q10="高","重要度高または阻害要因あり",IF($Q10="中","進捗・待ち状況に注意","大きな懸念なし"))))</x:f>
      </x:c>
      <x:c r="S10" s="27" t="str">
        <x:f>IF($E10="","",IF(OR($Q10="高",$P10="遅延"),"要","不要"))</x:f>
      </x:c>
      <x:c r="T10" s="27" t="str"/>
      <x:c r="U10" s="27" t="str"/>
      <x:c r="V10" s="27" t="str"/>
      <x:c r="W10" s="27" t="str"/>
    </x:row>
    <x:row r="11">
      <x:c r="A11" s="27" t="str"/>
      <x:c r="B11" s="27" t="str"/>
      <x:c r="C11" s="27" t="str"/>
      <x:c r="D11" s="27" t="str"/>
      <x:c r="E11" s="27" t="str"/>
      <x:c r="F11" s="27" t="str"/>
      <x:c r="G11" s="27" t="str"/>
      <x:c r="H11" s="27" t="str"/>
      <x:c r="I11" s="52" t="str"/>
      <x:c r="J11" s="52" t="str"/>
      <x:c r="K11" s="54" t="str"/>
      <x:c r="L11" s="27" t="str"/>
      <x:c r="M11" s="27" t="str"/>
      <x:c r="N11" s="27" t="str"/>
      <x:c r="O11" s="52" t="str"/>
      <x:c r="P11" s="27" t="str">
        <x:f>IF($E11="","",IF($L11="完了","完了",IF($J11="","未判定",IF($J11&lt;TODAY(),"遅延",IF(AND($J11&lt;=WORKDAY(TODAY(),3),$K11&lt;0.5),"遅延予兆","予定内")))))</x:f>
      </x:c>
      <x:c r="Q11" s="27" t="str">
        <x:f>IF($E11="","",IF($L11="完了","低",IF(OR($P11="遅延",AND($M11="高",OR(ISNUMBER(SEARCH("遅延",$N11)),ISNUMBER(SEARCH("未完了",$N11)),ISNUMBER(SEARCH("待ち",$N11)),ISNUMBER(SEARCH("調整",$N11)),ISNUMBER(SEARCH("不明",$N11))))),"高",IF(OR($P11="遅延予兆",$K11&lt;0.5,ISNUMBER(SEARCH("レビュー待ち",$N11)),ISNUMBER(SEARCH("前工程",$N11))),"中","低"))))</x:f>
      </x:c>
      <x:c r="R11" s="27" t="str">
        <x:f>IF($E11="","",IF($P11="遅延","期限超過",IF($Q11="高","重要度高または阻害要因あり",IF($Q11="中","進捗・待ち状況に注意","大きな懸念なし"))))</x:f>
      </x:c>
      <x:c r="S11" s="27" t="str">
        <x:f>IF($E11="","",IF(OR($Q11="高",$P11="遅延"),"要","不要"))</x:f>
      </x:c>
      <x:c r="T11" s="27" t="str"/>
      <x:c r="U11" s="27" t="str"/>
      <x:c r="V11" s="27" t="str"/>
      <x:c r="W11" s="27" t="str"/>
    </x:row>
    <x:row r="12">
      <x:c r="A12" s="27" t="str"/>
      <x:c r="B12" s="27" t="str"/>
      <x:c r="C12" s="27" t="str"/>
      <x:c r="D12" s="27" t="str"/>
      <x:c r="E12" s="27" t="str"/>
      <x:c r="F12" s="27" t="str"/>
      <x:c r="G12" s="27" t="str"/>
      <x:c r="H12" s="27" t="str"/>
      <x:c r="I12" s="52" t="str"/>
      <x:c r="J12" s="52" t="str"/>
      <x:c r="K12" s="54" t="str"/>
      <x:c r="L12" s="27" t="str"/>
      <x:c r="M12" s="27" t="str"/>
      <x:c r="N12" s="27" t="str"/>
      <x:c r="O12" s="52" t="str"/>
      <x:c r="P12" s="27" t="str">
        <x:f>IF($E12="","",IF($L12="完了","完了",IF($J12="","未判定",IF($J12&lt;TODAY(),"遅延",IF(AND($J12&lt;=WORKDAY(TODAY(),3),$K12&lt;0.5),"遅延予兆","予定内")))))</x:f>
      </x:c>
      <x:c r="Q12" s="27" t="str">
        <x:f>IF($E12="","",IF($L12="完了","低",IF(OR($P12="遅延",AND($M12="高",OR(ISNUMBER(SEARCH("遅延",$N12)),ISNUMBER(SEARCH("未完了",$N12)),ISNUMBER(SEARCH("待ち",$N12)),ISNUMBER(SEARCH("調整",$N12)),ISNUMBER(SEARCH("不明",$N12))))),"高",IF(OR($P12="遅延予兆",$K12&lt;0.5,ISNUMBER(SEARCH("レビュー待ち",$N12)),ISNUMBER(SEARCH("前工程",$N12))),"中","低"))))</x:f>
      </x:c>
      <x:c r="R12" s="27" t="str">
        <x:f>IF($E12="","",IF($P12="遅延","期限超過",IF($Q12="高","重要度高または阻害要因あり",IF($Q12="中","進捗・待ち状況に注意","大きな懸念なし"))))</x:f>
      </x:c>
      <x:c r="S12" s="27" t="str">
        <x:f>IF($E12="","",IF(OR($Q12="高",$P12="遅延"),"要","不要"))</x:f>
      </x:c>
      <x:c r="T12" s="27" t="str"/>
      <x:c r="U12" s="27" t="str"/>
      <x:c r="V12" s="27" t="str"/>
      <x:c r="W12" s="27" t="str"/>
    </x:row>
    <x:row r="13">
      <x:c r="A13" s="27" t="str"/>
      <x:c r="B13" s="27" t="str"/>
      <x:c r="C13" s="27" t="str"/>
      <x:c r="D13" s="27" t="str"/>
      <x:c r="E13" s="27" t="str"/>
      <x:c r="F13" s="27" t="str"/>
      <x:c r="G13" s="27" t="str"/>
      <x:c r="H13" s="27" t="str"/>
      <x:c r="I13" s="52" t="str"/>
      <x:c r="J13" s="52" t="str"/>
      <x:c r="K13" s="54" t="str"/>
      <x:c r="L13" s="27" t="str"/>
      <x:c r="M13" s="27" t="str"/>
      <x:c r="N13" s="27" t="str"/>
      <x:c r="O13" s="52" t="str"/>
      <x:c r="P13" s="27" t="str">
        <x:f>IF($E13="","",IF($L13="完了","完了",IF($J13="","未判定",IF($J13&lt;TODAY(),"遅延",IF(AND($J13&lt;=WORKDAY(TODAY(),3),$K13&lt;0.5),"遅延予兆","予定内")))))</x:f>
      </x:c>
      <x:c r="Q13" s="27" t="str">
        <x:f>IF($E13="","",IF($L13="完了","低",IF(OR($P13="遅延",AND($M13="高",OR(ISNUMBER(SEARCH("遅延",$N13)),ISNUMBER(SEARCH("未完了",$N13)),ISNUMBER(SEARCH("待ち",$N13)),ISNUMBER(SEARCH("調整",$N13)),ISNUMBER(SEARCH("不明",$N13))))),"高",IF(OR($P13="遅延予兆",$K13&lt;0.5,ISNUMBER(SEARCH("レビュー待ち",$N13)),ISNUMBER(SEARCH("前工程",$N13))),"中","低"))))</x:f>
      </x:c>
      <x:c r="R13" s="27" t="str">
        <x:f>IF($E13="","",IF($P13="遅延","期限超過",IF($Q13="高","重要度高または阻害要因あり",IF($Q13="中","進捗・待ち状況に注意","大きな懸念なし"))))</x:f>
      </x:c>
      <x:c r="S13" s="27" t="str">
        <x:f>IF($E13="","",IF(OR($Q13="高",$P13="遅延"),"要","不要"))</x:f>
      </x:c>
      <x:c r="T13" s="27" t="str"/>
      <x:c r="U13" s="27" t="str"/>
      <x:c r="V13" s="27" t="str"/>
      <x:c r="W13" s="27" t="str"/>
    </x:row>
    <x:row r="14">
      <x:c r="A14" s="27" t="str"/>
      <x:c r="B14" s="27" t="str"/>
      <x:c r="C14" s="27" t="str"/>
      <x:c r="D14" s="27" t="str"/>
      <x:c r="E14" s="27" t="str"/>
      <x:c r="F14" s="27" t="str"/>
      <x:c r="G14" s="27" t="str"/>
      <x:c r="H14" s="27" t="str"/>
      <x:c r="I14" s="52" t="str"/>
      <x:c r="J14" s="52" t="str"/>
      <x:c r="K14" s="54" t="str"/>
      <x:c r="L14" s="27" t="str"/>
      <x:c r="M14" s="27" t="str"/>
      <x:c r="N14" s="27" t="str"/>
      <x:c r="O14" s="52" t="str"/>
      <x:c r="P14" s="27" t="str">
        <x:f>IF($E14="","",IF($L14="完了","完了",IF($J14="","未判定",IF($J14&lt;TODAY(),"遅延",IF(AND($J14&lt;=WORKDAY(TODAY(),3),$K14&lt;0.5),"遅延予兆","予定内")))))</x:f>
      </x:c>
      <x:c r="Q14" s="27" t="str">
        <x:f>IF($E14="","",IF($L14="完了","低",IF(OR($P14="遅延",AND($M14="高",OR(ISNUMBER(SEARCH("遅延",$N14)),ISNUMBER(SEARCH("未完了",$N14)),ISNUMBER(SEARCH("待ち",$N14)),ISNUMBER(SEARCH("調整",$N14)),ISNUMBER(SEARCH("不明",$N14))))),"高",IF(OR($P14="遅延予兆",$K14&lt;0.5,ISNUMBER(SEARCH("レビュー待ち",$N14)),ISNUMBER(SEARCH("前工程",$N14))),"中","低"))))</x:f>
      </x:c>
      <x:c r="R14" s="27" t="str">
        <x:f>IF($E14="","",IF($P14="遅延","期限超過",IF($Q14="高","重要度高または阻害要因あり",IF($Q14="中","進捗・待ち状況に注意","大きな懸念なし"))))</x:f>
      </x:c>
      <x:c r="S14" s="27" t="str">
        <x:f>IF($E14="","",IF(OR($Q14="高",$P14="遅延"),"要","不要"))</x:f>
      </x:c>
      <x:c r="T14" s="27" t="str"/>
      <x:c r="U14" s="27" t="str"/>
      <x:c r="V14" s="27" t="str"/>
      <x:c r="W14" s="27" t="str"/>
    </x:row>
    <x:row r="15">
      <x:c r="A15" s="27" t="str"/>
      <x:c r="B15" s="27" t="str"/>
      <x:c r="C15" s="27" t="str"/>
      <x:c r="D15" s="27" t="str"/>
      <x:c r="E15" s="27" t="str"/>
      <x:c r="F15" s="27" t="str"/>
      <x:c r="G15" s="27" t="str"/>
      <x:c r="H15" s="27" t="str"/>
      <x:c r="I15" s="52" t="str"/>
      <x:c r="J15" s="52" t="str"/>
      <x:c r="K15" s="54" t="str"/>
      <x:c r="L15" s="27" t="str"/>
      <x:c r="M15" s="27" t="str"/>
      <x:c r="N15" s="27" t="str"/>
      <x:c r="O15" s="52" t="str"/>
      <x:c r="P15" s="27" t="str">
        <x:f>IF($E15="","",IF($L15="完了","完了",IF($J15="","未判定",IF($J15&lt;TODAY(),"遅延",IF(AND($J15&lt;=WORKDAY(TODAY(),3),$K15&lt;0.5),"遅延予兆","予定内")))))</x:f>
      </x:c>
      <x:c r="Q15" s="27" t="str">
        <x:f>IF($E15="","",IF($L15="完了","低",IF(OR($P15="遅延",AND($M15="高",OR(ISNUMBER(SEARCH("遅延",$N15)),ISNUMBER(SEARCH("未完了",$N15)),ISNUMBER(SEARCH("待ち",$N15)),ISNUMBER(SEARCH("調整",$N15)),ISNUMBER(SEARCH("不明",$N15))))),"高",IF(OR($P15="遅延予兆",$K15&lt;0.5,ISNUMBER(SEARCH("レビュー待ち",$N15)),ISNUMBER(SEARCH("前工程",$N15))),"中","低"))))</x:f>
      </x:c>
      <x:c r="R15" s="27" t="str">
        <x:f>IF($E15="","",IF($P15="遅延","期限超過",IF($Q15="高","重要度高または阻害要因あり",IF($Q15="中","進捗・待ち状況に注意","大きな懸念なし"))))</x:f>
      </x:c>
      <x:c r="S15" s="27" t="str">
        <x:f>IF($E15="","",IF(OR($Q15="高",$P15="遅延"),"要","不要"))</x:f>
      </x:c>
      <x:c r="T15" s="27" t="str"/>
      <x:c r="U15" s="27" t="str"/>
      <x:c r="V15" s="27" t="str"/>
      <x:c r="W15" s="27" t="str"/>
    </x:row>
    <x:row r="16">
      <x:c r="A16" s="27" t="str"/>
      <x:c r="B16" s="27" t="str"/>
      <x:c r="C16" s="27" t="str"/>
      <x:c r="D16" s="27" t="str"/>
      <x:c r="E16" s="27" t="str"/>
      <x:c r="F16" s="27" t="str"/>
      <x:c r="G16" s="27" t="str"/>
      <x:c r="H16" s="27" t="str"/>
      <x:c r="I16" s="52" t="str"/>
      <x:c r="J16" s="52" t="str"/>
      <x:c r="K16" s="54" t="str"/>
      <x:c r="L16" s="27" t="str"/>
      <x:c r="M16" s="27" t="str"/>
      <x:c r="N16" s="27" t="str"/>
      <x:c r="O16" s="52" t="str"/>
      <x:c r="P16" s="27" t="str">
        <x:f>IF($E16="","",IF($L16="完了","完了",IF($J16="","未判定",IF($J16&lt;TODAY(),"遅延",IF(AND($J16&lt;=WORKDAY(TODAY(),3),$K16&lt;0.5),"遅延予兆","予定内")))))</x:f>
      </x:c>
      <x:c r="Q16" s="27" t="str">
        <x:f>IF($E16="","",IF($L16="完了","低",IF(OR($P16="遅延",AND($M16="高",OR(ISNUMBER(SEARCH("遅延",$N16)),ISNUMBER(SEARCH("未完了",$N16)),ISNUMBER(SEARCH("待ち",$N16)),ISNUMBER(SEARCH("調整",$N16)),ISNUMBER(SEARCH("不明",$N16))))),"高",IF(OR($P16="遅延予兆",$K16&lt;0.5,ISNUMBER(SEARCH("レビュー待ち",$N16)),ISNUMBER(SEARCH("前工程",$N16))),"中","低"))))</x:f>
      </x:c>
      <x:c r="R16" s="27" t="str">
        <x:f>IF($E16="","",IF($P16="遅延","期限超過",IF($Q16="高","重要度高または阻害要因あり",IF($Q16="中","進捗・待ち状況に注意","大きな懸念なし"))))</x:f>
      </x:c>
      <x:c r="S16" s="27" t="str">
        <x:f>IF($E16="","",IF(OR($Q16="高",$P16="遅延"),"要","不要"))</x:f>
      </x:c>
      <x:c r="T16" s="27" t="str"/>
      <x:c r="U16" s="27" t="str"/>
      <x:c r="V16" s="27" t="str"/>
      <x:c r="W16" s="27" t="str"/>
    </x:row>
    <x:row r="17">
      <x:c r="A17" s="27" t="str"/>
      <x:c r="B17" s="27" t="str"/>
      <x:c r="C17" s="27" t="str"/>
      <x:c r="D17" s="27" t="str"/>
      <x:c r="E17" s="27" t="str"/>
      <x:c r="F17" s="27" t="str"/>
      <x:c r="G17" s="27" t="str"/>
      <x:c r="H17" s="27" t="str"/>
      <x:c r="I17" s="52" t="str"/>
      <x:c r="J17" s="52" t="str"/>
      <x:c r="K17" s="54" t="str"/>
      <x:c r="L17" s="27" t="str"/>
      <x:c r="M17" s="27" t="str"/>
      <x:c r="N17" s="27" t="str"/>
      <x:c r="O17" s="52" t="str"/>
      <x:c r="P17" s="27" t="str">
        <x:f>IF($E17="","",IF($L17="完了","完了",IF($J17="","未判定",IF($J17&lt;TODAY(),"遅延",IF(AND($J17&lt;=WORKDAY(TODAY(),3),$K17&lt;0.5),"遅延予兆","予定内")))))</x:f>
      </x:c>
      <x:c r="Q17" s="27" t="str">
        <x:f>IF($E17="","",IF($L17="完了","低",IF(OR($P17="遅延",AND($M17="高",OR(ISNUMBER(SEARCH("遅延",$N17)),ISNUMBER(SEARCH("未完了",$N17)),ISNUMBER(SEARCH("待ち",$N17)),ISNUMBER(SEARCH("調整",$N17)),ISNUMBER(SEARCH("不明",$N17))))),"高",IF(OR($P17="遅延予兆",$K17&lt;0.5,ISNUMBER(SEARCH("レビュー待ち",$N17)),ISNUMBER(SEARCH("前工程",$N17))),"中","低"))))</x:f>
      </x:c>
      <x:c r="R17" s="27" t="str">
        <x:f>IF($E17="","",IF($P17="遅延","期限超過",IF($Q17="高","重要度高または阻害要因あり",IF($Q17="中","進捗・待ち状況に注意","大きな懸念なし"))))</x:f>
      </x:c>
      <x:c r="S17" s="27" t="str">
        <x:f>IF($E17="","",IF(OR($Q17="高",$P17="遅延"),"要","不要"))</x:f>
      </x:c>
      <x:c r="T17" s="27" t="str"/>
      <x:c r="U17" s="27" t="str"/>
      <x:c r="V17" s="27" t="str"/>
      <x:c r="W17" s="27" t="str"/>
    </x:row>
    <x:row r="18">
      <x:c r="A18" s="27" t="str"/>
      <x:c r="B18" s="27" t="str"/>
      <x:c r="C18" s="27" t="str"/>
      <x:c r="D18" s="27" t="str"/>
      <x:c r="E18" s="27" t="str"/>
      <x:c r="F18" s="27" t="str"/>
      <x:c r="G18" s="27" t="str"/>
      <x:c r="H18" s="27" t="str"/>
      <x:c r="I18" s="52" t="str"/>
      <x:c r="J18" s="52" t="str"/>
      <x:c r="K18" s="54" t="str"/>
      <x:c r="L18" s="27" t="str"/>
      <x:c r="M18" s="27" t="str"/>
      <x:c r="N18" s="27" t="str"/>
      <x:c r="O18" s="52" t="str"/>
      <x:c r="P18" s="27" t="str">
        <x:f>IF($E18="","",IF($L18="完了","完了",IF($J18="","未判定",IF($J18&lt;TODAY(),"遅延",IF(AND($J18&lt;=WORKDAY(TODAY(),3),$K18&lt;0.5),"遅延予兆","予定内")))))</x:f>
      </x:c>
      <x:c r="Q18" s="27" t="str">
        <x:f>IF($E18="","",IF($L18="完了","低",IF(OR($P18="遅延",AND($M18="高",OR(ISNUMBER(SEARCH("遅延",$N18)),ISNUMBER(SEARCH("未完了",$N18)),ISNUMBER(SEARCH("待ち",$N18)),ISNUMBER(SEARCH("調整",$N18)),ISNUMBER(SEARCH("不明",$N18))))),"高",IF(OR($P18="遅延予兆",$K18&lt;0.5,ISNUMBER(SEARCH("レビュー待ち",$N18)),ISNUMBER(SEARCH("前工程",$N18))),"中","低"))))</x:f>
      </x:c>
      <x:c r="R18" s="27" t="str">
        <x:f>IF($E18="","",IF($P18="遅延","期限超過",IF($Q18="高","重要度高または阻害要因あり",IF($Q18="中","進捗・待ち状況に注意","大きな懸念なし"))))</x:f>
      </x:c>
      <x:c r="S18" s="27" t="str">
        <x:f>IF($E18="","",IF(OR($Q18="高",$P18="遅延"),"要","不要"))</x:f>
      </x:c>
      <x:c r="T18" s="27" t="str"/>
      <x:c r="U18" s="27" t="str"/>
      <x:c r="V18" s="27" t="str"/>
      <x:c r="W18" s="27" t="str"/>
    </x:row>
    <x:row r="19">
      <x:c r="A19" s="27" t="str"/>
      <x:c r="B19" s="27" t="str"/>
      <x:c r="C19" s="27" t="str"/>
      <x:c r="D19" s="27" t="str"/>
      <x:c r="E19" s="27" t="str"/>
      <x:c r="F19" s="27" t="str"/>
      <x:c r="G19" s="27" t="str"/>
      <x:c r="H19" s="27" t="str"/>
      <x:c r="I19" s="52" t="str"/>
      <x:c r="J19" s="52" t="str"/>
      <x:c r="K19" s="54" t="str"/>
      <x:c r="L19" s="27" t="str"/>
      <x:c r="M19" s="27" t="str"/>
      <x:c r="N19" s="27" t="str"/>
      <x:c r="O19" s="52" t="str"/>
      <x:c r="P19" s="27" t="str">
        <x:f>IF($E19="","",IF($L19="完了","完了",IF($J19="","未判定",IF($J19&lt;TODAY(),"遅延",IF(AND($J19&lt;=WORKDAY(TODAY(),3),$K19&lt;0.5),"遅延予兆","予定内")))))</x:f>
      </x:c>
      <x:c r="Q19" s="27" t="str">
        <x:f>IF($E19="","",IF($L19="完了","低",IF(OR($P19="遅延",AND($M19="高",OR(ISNUMBER(SEARCH("遅延",$N19)),ISNUMBER(SEARCH("未完了",$N19)),ISNUMBER(SEARCH("待ち",$N19)),ISNUMBER(SEARCH("調整",$N19)),ISNUMBER(SEARCH("不明",$N19))))),"高",IF(OR($P19="遅延予兆",$K19&lt;0.5,ISNUMBER(SEARCH("レビュー待ち",$N19)),ISNUMBER(SEARCH("前工程",$N19))),"中","低"))))</x:f>
      </x:c>
      <x:c r="R19" s="27" t="str">
        <x:f>IF($E19="","",IF($P19="遅延","期限超過",IF($Q19="高","重要度高または阻害要因あり",IF($Q19="中","進捗・待ち状況に注意","大きな懸念なし"))))</x:f>
      </x:c>
      <x:c r="S19" s="27" t="str">
        <x:f>IF($E19="","",IF(OR($Q19="高",$P19="遅延"),"要","不要"))</x:f>
      </x:c>
      <x:c r="T19" s="27" t="str"/>
      <x:c r="U19" s="27" t="str"/>
      <x:c r="V19" s="27" t="str"/>
      <x:c r="W19" s="27" t="str"/>
    </x:row>
    <x:row r="20">
      <x:c r="A20" s="27" t="str"/>
      <x:c r="B20" s="27" t="str"/>
      <x:c r="C20" s="27" t="str"/>
      <x:c r="D20" s="27" t="str"/>
      <x:c r="E20" s="27" t="str"/>
      <x:c r="F20" s="27" t="str"/>
      <x:c r="G20" s="27" t="str"/>
      <x:c r="H20" s="27" t="str"/>
      <x:c r="I20" s="52" t="str"/>
      <x:c r="J20" s="52" t="str"/>
      <x:c r="K20" s="54" t="str"/>
      <x:c r="L20" s="27" t="str"/>
      <x:c r="M20" s="27" t="str"/>
      <x:c r="N20" s="27" t="str"/>
      <x:c r="O20" s="52" t="str"/>
      <x:c r="P20" s="27" t="str">
        <x:f>IF($E20="","",IF($L20="完了","完了",IF($J20="","未判定",IF($J20&lt;TODAY(),"遅延",IF(AND($J20&lt;=WORKDAY(TODAY(),3),$K20&lt;0.5),"遅延予兆","予定内")))))</x:f>
      </x:c>
      <x:c r="Q20" s="27" t="str">
        <x:f>IF($E20="","",IF($L20="完了","低",IF(OR($P20="遅延",AND($M20="高",OR(ISNUMBER(SEARCH("遅延",$N20)),ISNUMBER(SEARCH("未完了",$N20)),ISNUMBER(SEARCH("待ち",$N20)),ISNUMBER(SEARCH("調整",$N20)),ISNUMBER(SEARCH("不明",$N20))))),"高",IF(OR($P20="遅延予兆",$K20&lt;0.5,ISNUMBER(SEARCH("レビュー待ち",$N20)),ISNUMBER(SEARCH("前工程",$N20))),"中","低"))))</x:f>
      </x:c>
      <x:c r="R20" s="27" t="str">
        <x:f>IF($E20="","",IF($P20="遅延","期限超過",IF($Q20="高","重要度高または阻害要因あり",IF($Q20="中","進捗・待ち状況に注意","大きな懸念なし"))))</x:f>
      </x:c>
      <x:c r="S20" s="27" t="str">
        <x:f>IF($E20="","",IF(OR($Q20="高",$P20="遅延"),"要","不要"))</x:f>
      </x:c>
      <x:c r="T20" s="27" t="str"/>
      <x:c r="U20" s="27" t="str"/>
      <x:c r="V20" s="27" t="str"/>
      <x:c r="W20" s="27" t="str"/>
    </x:row>
    <x:row r="21">
      <x:c r="A21" s="27" t="str"/>
      <x:c r="B21" s="27" t="str"/>
      <x:c r="C21" s="27" t="str"/>
      <x:c r="D21" s="27" t="str"/>
      <x:c r="E21" s="27" t="str"/>
      <x:c r="F21" s="27" t="str"/>
      <x:c r="G21" s="27" t="str"/>
      <x:c r="H21" s="27" t="str"/>
      <x:c r="I21" s="52" t="str"/>
      <x:c r="J21" s="52" t="str"/>
      <x:c r="K21" s="54" t="str"/>
      <x:c r="L21" s="27" t="str"/>
      <x:c r="M21" s="27" t="str"/>
      <x:c r="N21" s="27" t="str"/>
      <x:c r="O21" s="52" t="str"/>
      <x:c r="P21" s="27" t="str">
        <x:f>IF($E21="","",IF($L21="完了","完了",IF($J21="","未判定",IF($J21&lt;TODAY(),"遅延",IF(AND($J21&lt;=WORKDAY(TODAY(),3),$K21&lt;0.5),"遅延予兆","予定内")))))</x:f>
      </x:c>
      <x:c r="Q21" s="27" t="str">
        <x:f>IF($E21="","",IF($L21="完了","低",IF(OR($P21="遅延",AND($M21="高",OR(ISNUMBER(SEARCH("遅延",$N21)),ISNUMBER(SEARCH("未完了",$N21)),ISNUMBER(SEARCH("待ち",$N21)),ISNUMBER(SEARCH("調整",$N21)),ISNUMBER(SEARCH("不明",$N21))))),"高",IF(OR($P21="遅延予兆",$K21&lt;0.5,ISNUMBER(SEARCH("レビュー待ち",$N21)),ISNUMBER(SEARCH("前工程",$N21))),"中","低"))))</x:f>
      </x:c>
      <x:c r="R21" s="27" t="str">
        <x:f>IF($E21="","",IF($P21="遅延","期限超過",IF($Q21="高","重要度高または阻害要因あり",IF($Q21="中","進捗・待ち状況に注意","大きな懸念なし"))))</x:f>
      </x:c>
      <x:c r="S21" s="27" t="str">
        <x:f>IF($E21="","",IF(OR($Q21="高",$P21="遅延"),"要","不要"))</x:f>
      </x:c>
      <x:c r="T21" s="27" t="str"/>
      <x:c r="U21" s="27" t="str"/>
      <x:c r="V21" s="27" t="str"/>
      <x:c r="W21" s="27" t="str"/>
    </x:row>
    <x:row r="22">
      <x:c r="A22" s="27" t="str"/>
      <x:c r="B22" s="27" t="str"/>
      <x:c r="C22" s="27" t="str"/>
      <x:c r="D22" s="27" t="str"/>
      <x:c r="E22" s="27" t="str"/>
      <x:c r="F22" s="27" t="str"/>
      <x:c r="G22" s="27" t="str"/>
      <x:c r="H22" s="27" t="str"/>
      <x:c r="I22" s="52" t="str"/>
      <x:c r="J22" s="52" t="str"/>
      <x:c r="K22" s="54" t="str"/>
      <x:c r="L22" s="27" t="str"/>
      <x:c r="M22" s="27" t="str"/>
      <x:c r="N22" s="27" t="str"/>
      <x:c r="O22" s="52" t="str"/>
      <x:c r="P22" s="27" t="str">
        <x:f>IF($E22="","",IF($L22="完了","完了",IF($J22="","未判定",IF($J22&lt;TODAY(),"遅延",IF(AND($J22&lt;=WORKDAY(TODAY(),3),$K22&lt;0.5),"遅延予兆","予定内")))))</x:f>
      </x:c>
      <x:c r="Q22" s="27" t="str">
        <x:f>IF($E22="","",IF($L22="完了","低",IF(OR($P22="遅延",AND($M22="高",OR(ISNUMBER(SEARCH("遅延",$N22)),ISNUMBER(SEARCH("未完了",$N22)),ISNUMBER(SEARCH("待ち",$N22)),ISNUMBER(SEARCH("調整",$N22)),ISNUMBER(SEARCH("不明",$N22))))),"高",IF(OR($P22="遅延予兆",$K22&lt;0.5,ISNUMBER(SEARCH("レビュー待ち",$N22)),ISNUMBER(SEARCH("前工程",$N22))),"中","低"))))</x:f>
      </x:c>
      <x:c r="R22" s="27" t="str">
        <x:f>IF($E22="","",IF($P22="遅延","期限超過",IF($Q22="高","重要度高または阻害要因あり",IF($Q22="中","進捗・待ち状況に注意","大きな懸念なし"))))</x:f>
      </x:c>
      <x:c r="S22" s="27" t="str">
        <x:f>IF($E22="","",IF(OR($Q22="高",$P22="遅延"),"要","不要"))</x:f>
      </x:c>
      <x:c r="T22" s="27" t="str"/>
      <x:c r="U22" s="27" t="str"/>
      <x:c r="V22" s="27" t="str"/>
      <x:c r="W22" s="27" t="str"/>
    </x:row>
    <x:row r="23">
      <x:c r="A23" s="27" t="str"/>
      <x:c r="B23" s="27" t="str"/>
      <x:c r="C23" s="27" t="str"/>
      <x:c r="D23" s="27" t="str"/>
      <x:c r="E23" s="27" t="str"/>
      <x:c r="F23" s="27" t="str"/>
      <x:c r="G23" s="27" t="str"/>
      <x:c r="H23" s="27" t="str"/>
      <x:c r="I23" s="52" t="str"/>
      <x:c r="J23" s="52" t="str"/>
      <x:c r="K23" s="54" t="str"/>
      <x:c r="L23" s="27" t="str"/>
      <x:c r="M23" s="27" t="str"/>
      <x:c r="N23" s="27" t="str"/>
      <x:c r="O23" s="52" t="str"/>
      <x:c r="P23" s="27" t="str">
        <x:f>IF($E23="","",IF($L23="完了","完了",IF($J23="","未判定",IF($J23&lt;TODAY(),"遅延",IF(AND($J23&lt;=WORKDAY(TODAY(),3),$K23&lt;0.5),"遅延予兆","予定内")))))</x:f>
      </x:c>
      <x:c r="Q23" s="27" t="str">
        <x:f>IF($E23="","",IF($L23="完了","低",IF(OR($P23="遅延",AND($M23="高",OR(ISNUMBER(SEARCH("遅延",$N23)),ISNUMBER(SEARCH("未完了",$N23)),ISNUMBER(SEARCH("待ち",$N23)),ISNUMBER(SEARCH("調整",$N23)),ISNUMBER(SEARCH("不明",$N23))))),"高",IF(OR($P23="遅延予兆",$K23&lt;0.5,ISNUMBER(SEARCH("レビュー待ち",$N23)),ISNUMBER(SEARCH("前工程",$N23))),"中","低"))))</x:f>
      </x:c>
      <x:c r="R23" s="27" t="str">
        <x:f>IF($E23="","",IF($P23="遅延","期限超過",IF($Q23="高","重要度高または阻害要因あり",IF($Q23="中","進捗・待ち状況に注意","大きな懸念なし"))))</x:f>
      </x:c>
      <x:c r="S23" s="27" t="str">
        <x:f>IF($E23="","",IF(OR($Q23="高",$P23="遅延"),"要","不要"))</x:f>
      </x:c>
      <x:c r="T23" s="27" t="str"/>
      <x:c r="U23" s="27" t="str"/>
      <x:c r="V23" s="27" t="str"/>
      <x:c r="W23" s="27" t="str"/>
    </x:row>
    <x:row r="24">
      <x:c r="A24" s="27" t="str"/>
      <x:c r="B24" s="27" t="str"/>
      <x:c r="C24" s="27" t="str"/>
      <x:c r="D24" s="27" t="str"/>
      <x:c r="E24" s="27" t="str"/>
      <x:c r="F24" s="27" t="str"/>
      <x:c r="G24" s="27" t="str"/>
      <x:c r="H24" s="27" t="str"/>
      <x:c r="I24" s="52" t="str"/>
      <x:c r="J24" s="52" t="str"/>
      <x:c r="K24" s="54" t="str"/>
      <x:c r="L24" s="27" t="str"/>
      <x:c r="M24" s="27" t="str"/>
      <x:c r="N24" s="27" t="str"/>
      <x:c r="O24" s="52" t="str"/>
      <x:c r="P24" s="27" t="str">
        <x:f>IF($E24="","",IF($L24="完了","完了",IF($J24="","未判定",IF($J24&lt;TODAY(),"遅延",IF(AND($J24&lt;=WORKDAY(TODAY(),3),$K24&lt;0.5),"遅延予兆","予定内")))))</x:f>
      </x:c>
      <x:c r="Q24" s="27" t="str">
        <x:f>IF($E24="","",IF($L24="完了","低",IF(OR($P24="遅延",AND($M24="高",OR(ISNUMBER(SEARCH("遅延",$N24)),ISNUMBER(SEARCH("未完了",$N24)),ISNUMBER(SEARCH("待ち",$N24)),ISNUMBER(SEARCH("調整",$N24)),ISNUMBER(SEARCH("不明",$N24))))),"高",IF(OR($P24="遅延予兆",$K24&lt;0.5,ISNUMBER(SEARCH("レビュー待ち",$N24)),ISNUMBER(SEARCH("前工程",$N24))),"中","低"))))</x:f>
      </x:c>
      <x:c r="R24" s="27" t="str">
        <x:f>IF($E24="","",IF($P24="遅延","期限超過",IF($Q24="高","重要度高または阻害要因あり",IF($Q24="中","進捗・待ち状況に注意","大きな懸念なし"))))</x:f>
      </x:c>
      <x:c r="S24" s="27" t="str">
        <x:f>IF($E24="","",IF(OR($Q24="高",$P24="遅延"),"要","不要"))</x:f>
      </x:c>
      <x:c r="T24" s="27" t="str"/>
      <x:c r="U24" s="27" t="str"/>
      <x:c r="V24" s="27" t="str"/>
      <x:c r="W24" s="27" t="str"/>
    </x:row>
    <x:row r="25">
      <x:c r="A25" s="27" t="str"/>
      <x:c r="B25" s="27" t="str"/>
      <x:c r="C25" s="27" t="str"/>
      <x:c r="D25" s="27" t="str"/>
      <x:c r="E25" s="27" t="str"/>
      <x:c r="F25" s="27" t="str"/>
      <x:c r="G25" s="27" t="str"/>
      <x:c r="H25" s="27" t="str"/>
      <x:c r="I25" s="52" t="str"/>
      <x:c r="J25" s="52" t="str"/>
      <x:c r="K25" s="54" t="str"/>
      <x:c r="L25" s="27" t="str"/>
      <x:c r="M25" s="27" t="str"/>
      <x:c r="N25" s="27" t="str"/>
      <x:c r="O25" s="52" t="str"/>
      <x:c r="P25" s="27" t="str">
        <x:f>IF($E25="","",IF($L25="完了","完了",IF($J25="","未判定",IF($J25&lt;TODAY(),"遅延",IF(AND($J25&lt;=WORKDAY(TODAY(),3),$K25&lt;0.5),"遅延予兆","予定内")))))</x:f>
      </x:c>
      <x:c r="Q25" s="27" t="str">
        <x:f>IF($E25="","",IF($L25="完了","低",IF(OR($P25="遅延",AND($M25="高",OR(ISNUMBER(SEARCH("遅延",$N25)),ISNUMBER(SEARCH("未完了",$N25)),ISNUMBER(SEARCH("待ち",$N25)),ISNUMBER(SEARCH("調整",$N25)),ISNUMBER(SEARCH("不明",$N25))))),"高",IF(OR($P25="遅延予兆",$K25&lt;0.5,ISNUMBER(SEARCH("レビュー待ち",$N25)),ISNUMBER(SEARCH("前工程",$N25))),"中","低"))))</x:f>
      </x:c>
      <x:c r="R25" s="27" t="str">
        <x:f>IF($E25="","",IF($P25="遅延","期限超過",IF($Q25="高","重要度高または阻害要因あり",IF($Q25="中","進捗・待ち状況に注意","大きな懸念なし"))))</x:f>
      </x:c>
      <x:c r="S25" s="27" t="str">
        <x:f>IF($E25="","",IF(OR($Q25="高",$P25="遅延"),"要","不要"))</x:f>
      </x:c>
      <x:c r="T25" s="27" t="str"/>
      <x:c r="U25" s="27" t="str"/>
      <x:c r="V25" s="27" t="str"/>
      <x:c r="W25" s="27" t="str"/>
    </x:row>
    <x:row r="26">
      <x:c r="A26" s="27" t="str"/>
      <x:c r="B26" s="27" t="str"/>
      <x:c r="C26" s="27" t="str"/>
      <x:c r="D26" s="27" t="str"/>
      <x:c r="E26" s="27" t="str"/>
      <x:c r="F26" s="27" t="str"/>
      <x:c r="G26" s="27" t="str"/>
      <x:c r="H26" s="27" t="str"/>
      <x:c r="I26" s="52" t="str"/>
      <x:c r="J26" s="52" t="str"/>
      <x:c r="K26" s="54" t="str"/>
      <x:c r="L26" s="27" t="str"/>
      <x:c r="M26" s="27" t="str"/>
      <x:c r="N26" s="27" t="str"/>
      <x:c r="O26" s="52" t="str"/>
      <x:c r="P26" s="27" t="str">
        <x:f>IF($E26="","",IF($L26="完了","完了",IF($J26="","未判定",IF($J26&lt;TODAY(),"遅延",IF(AND($J26&lt;=WORKDAY(TODAY(),3),$K26&lt;0.5),"遅延予兆","予定内")))))</x:f>
      </x:c>
      <x:c r="Q26" s="27" t="str">
        <x:f>IF($E26="","",IF($L26="完了","低",IF(OR($P26="遅延",AND($M26="高",OR(ISNUMBER(SEARCH("遅延",$N26)),ISNUMBER(SEARCH("未完了",$N26)),ISNUMBER(SEARCH("待ち",$N26)),ISNUMBER(SEARCH("調整",$N26)),ISNUMBER(SEARCH("不明",$N26))))),"高",IF(OR($P26="遅延予兆",$K26&lt;0.5,ISNUMBER(SEARCH("レビュー待ち",$N26)),ISNUMBER(SEARCH("前工程",$N26))),"中","低"))))</x:f>
      </x:c>
      <x:c r="R26" s="27" t="str">
        <x:f>IF($E26="","",IF($P26="遅延","期限超過",IF($Q26="高","重要度高または阻害要因あり",IF($Q26="中","進捗・待ち状況に注意","大きな懸念なし"))))</x:f>
      </x:c>
      <x:c r="S26" s="27" t="str">
        <x:f>IF($E26="","",IF(OR($Q26="高",$P26="遅延"),"要","不要"))</x:f>
      </x:c>
      <x:c r="T26" s="27" t="str"/>
      <x:c r="U26" s="27" t="str"/>
      <x:c r="V26" s="27" t="str"/>
      <x:c r="W26" s="27" t="str"/>
    </x:row>
    <x:row r="27">
      <x:c r="A27" s="27" t="str"/>
      <x:c r="B27" s="27" t="str"/>
      <x:c r="C27" s="27" t="str"/>
      <x:c r="D27" s="27" t="str"/>
      <x:c r="E27" s="27" t="str"/>
      <x:c r="F27" s="27" t="str"/>
      <x:c r="G27" s="27" t="str"/>
      <x:c r="H27" s="27" t="str"/>
      <x:c r="I27" s="52" t="str"/>
      <x:c r="J27" s="52" t="str"/>
      <x:c r="K27" s="54" t="str"/>
      <x:c r="L27" s="27" t="str"/>
      <x:c r="M27" s="27" t="str"/>
      <x:c r="N27" s="27" t="str"/>
      <x:c r="O27" s="52" t="str"/>
      <x:c r="P27" s="27" t="str">
        <x:f>IF($E27="","",IF($L27="完了","完了",IF($J27="","未判定",IF($J27&lt;TODAY(),"遅延",IF(AND($J27&lt;=WORKDAY(TODAY(),3),$K27&lt;0.5),"遅延予兆","予定内")))))</x:f>
      </x:c>
      <x:c r="Q27" s="27" t="str">
        <x:f>IF($E27="","",IF($L27="完了","低",IF(OR($P27="遅延",AND($M27="高",OR(ISNUMBER(SEARCH("遅延",$N27)),ISNUMBER(SEARCH("未完了",$N27)),ISNUMBER(SEARCH("待ち",$N27)),ISNUMBER(SEARCH("調整",$N27)),ISNUMBER(SEARCH("不明",$N27))))),"高",IF(OR($P27="遅延予兆",$K27&lt;0.5,ISNUMBER(SEARCH("レビュー待ち",$N27)),ISNUMBER(SEARCH("前工程",$N27))),"中","低"))))</x:f>
      </x:c>
      <x:c r="R27" s="27" t="str">
        <x:f>IF($E27="","",IF($P27="遅延","期限超過",IF($Q27="高","重要度高または阻害要因あり",IF($Q27="中","進捗・待ち状況に注意","大きな懸念なし"))))</x:f>
      </x:c>
      <x:c r="S27" s="27" t="str">
        <x:f>IF($E27="","",IF(OR($Q27="高",$P27="遅延"),"要","不要"))</x:f>
      </x:c>
      <x:c r="T27" s="27" t="str"/>
      <x:c r="U27" s="27" t="str"/>
      <x:c r="V27" s="27" t="str"/>
      <x:c r="W27" s="27" t="str"/>
    </x:row>
    <x:row r="28">
      <x:c r="A28" s="27" t="str"/>
      <x:c r="B28" s="27" t="str"/>
      <x:c r="C28" s="27" t="str"/>
      <x:c r="D28" s="27" t="str"/>
      <x:c r="E28" s="27" t="str"/>
      <x:c r="F28" s="27" t="str"/>
      <x:c r="G28" s="27" t="str"/>
      <x:c r="H28" s="27" t="str"/>
      <x:c r="I28" s="52" t="str"/>
      <x:c r="J28" s="52" t="str"/>
      <x:c r="K28" s="54" t="str"/>
      <x:c r="L28" s="27" t="str"/>
      <x:c r="M28" s="27" t="str"/>
      <x:c r="N28" s="27" t="str"/>
      <x:c r="O28" s="52" t="str"/>
      <x:c r="P28" s="27" t="str">
        <x:f>IF($E28="","",IF($L28="完了","完了",IF($J28="","未判定",IF($J28&lt;TODAY(),"遅延",IF(AND($J28&lt;=WORKDAY(TODAY(),3),$K28&lt;0.5),"遅延予兆","予定内")))))</x:f>
      </x:c>
      <x:c r="Q28" s="27" t="str">
        <x:f>IF($E28="","",IF($L28="完了","低",IF(OR($P28="遅延",AND($M28="高",OR(ISNUMBER(SEARCH("遅延",$N28)),ISNUMBER(SEARCH("未完了",$N28)),ISNUMBER(SEARCH("待ち",$N28)),ISNUMBER(SEARCH("調整",$N28)),ISNUMBER(SEARCH("不明",$N28))))),"高",IF(OR($P28="遅延予兆",$K28&lt;0.5,ISNUMBER(SEARCH("レビュー待ち",$N28)),ISNUMBER(SEARCH("前工程",$N28))),"中","低"))))</x:f>
      </x:c>
      <x:c r="R28" s="27" t="str">
        <x:f>IF($E28="","",IF($P28="遅延","期限超過",IF($Q28="高","重要度高または阻害要因あり",IF($Q28="中","進捗・待ち状況に注意","大きな懸念なし"))))</x:f>
      </x:c>
      <x:c r="S28" s="27" t="str">
        <x:f>IF($E28="","",IF(OR($Q28="高",$P28="遅延"),"要","不要"))</x:f>
      </x:c>
      <x:c r="T28" s="27" t="str"/>
      <x:c r="U28" s="27" t="str"/>
      <x:c r="V28" s="27" t="str"/>
      <x:c r="W28" s="27" t="str"/>
    </x:row>
    <x:row r="29">
      <x:c r="A29" s="27" t="str"/>
      <x:c r="B29" s="27" t="str"/>
      <x:c r="C29" s="27" t="str"/>
      <x:c r="D29" s="27" t="str"/>
      <x:c r="E29" s="27" t="str"/>
      <x:c r="F29" s="27" t="str"/>
      <x:c r="G29" s="27" t="str"/>
      <x:c r="H29" s="27" t="str"/>
      <x:c r="I29" s="52" t="str"/>
      <x:c r="J29" s="52" t="str"/>
      <x:c r="K29" s="54" t="str"/>
      <x:c r="L29" s="27" t="str"/>
      <x:c r="M29" s="27" t="str"/>
      <x:c r="N29" s="27" t="str"/>
      <x:c r="O29" s="52" t="str"/>
      <x:c r="P29" s="27" t="str">
        <x:f>IF($E29="","",IF($L29="完了","完了",IF($J29="","未判定",IF($J29&lt;TODAY(),"遅延",IF(AND($J29&lt;=WORKDAY(TODAY(),3),$K29&lt;0.5),"遅延予兆","予定内")))))</x:f>
      </x:c>
      <x:c r="Q29" s="27" t="str">
        <x:f>IF($E29="","",IF($L29="完了","低",IF(OR($P29="遅延",AND($M29="高",OR(ISNUMBER(SEARCH("遅延",$N29)),ISNUMBER(SEARCH("未完了",$N29)),ISNUMBER(SEARCH("待ち",$N29)),ISNUMBER(SEARCH("調整",$N29)),ISNUMBER(SEARCH("不明",$N29))))),"高",IF(OR($P29="遅延予兆",$K29&lt;0.5,ISNUMBER(SEARCH("レビュー待ち",$N29)),ISNUMBER(SEARCH("前工程",$N29))),"中","低"))))</x:f>
      </x:c>
      <x:c r="R29" s="27" t="str">
        <x:f>IF($E29="","",IF($P29="遅延","期限超過",IF($Q29="高","重要度高または阻害要因あり",IF($Q29="中","進捗・待ち状況に注意","大きな懸念なし"))))</x:f>
      </x:c>
      <x:c r="S29" s="27" t="str">
        <x:f>IF($E29="","",IF(OR($Q29="高",$P29="遅延"),"要","不要"))</x:f>
      </x:c>
      <x:c r="T29" s="27" t="str"/>
      <x:c r="U29" s="27" t="str"/>
      <x:c r="V29" s="27" t="str"/>
      <x:c r="W29" s="27" t="str"/>
    </x:row>
    <x:row r="30">
      <x:c r="A30" s="27" t="str"/>
      <x:c r="B30" s="27" t="str"/>
      <x:c r="C30" s="27" t="str"/>
      <x:c r="D30" s="27" t="str"/>
      <x:c r="E30" s="27" t="str"/>
      <x:c r="F30" s="27" t="str"/>
      <x:c r="G30" s="27" t="str"/>
      <x:c r="H30" s="27" t="str"/>
      <x:c r="I30" s="52" t="str"/>
      <x:c r="J30" s="52" t="str"/>
      <x:c r="K30" s="54" t="str"/>
      <x:c r="L30" s="27" t="str"/>
      <x:c r="M30" s="27" t="str"/>
      <x:c r="N30" s="27" t="str"/>
      <x:c r="O30" s="52" t="str"/>
      <x:c r="P30" s="27" t="str">
        <x:f>IF($E30="","",IF($L30="完了","完了",IF($J30="","未判定",IF($J30&lt;TODAY(),"遅延",IF(AND($J30&lt;=WORKDAY(TODAY(),3),$K30&lt;0.5),"遅延予兆","予定内")))))</x:f>
      </x:c>
      <x:c r="Q30" s="27" t="str">
        <x:f>IF($E30="","",IF($L30="完了","低",IF(OR($P30="遅延",AND($M30="高",OR(ISNUMBER(SEARCH("遅延",$N30)),ISNUMBER(SEARCH("未完了",$N30)),ISNUMBER(SEARCH("待ち",$N30)),ISNUMBER(SEARCH("調整",$N30)),ISNUMBER(SEARCH("不明",$N30))))),"高",IF(OR($P30="遅延予兆",$K30&lt;0.5,ISNUMBER(SEARCH("レビュー待ち",$N30)),ISNUMBER(SEARCH("前工程",$N30))),"中","低"))))</x:f>
      </x:c>
      <x:c r="R30" s="27" t="str">
        <x:f>IF($E30="","",IF($P30="遅延","期限超過",IF($Q30="高","重要度高または阻害要因あり",IF($Q30="中","進捗・待ち状況に注意","大きな懸念なし"))))</x:f>
      </x:c>
      <x:c r="S30" s="27" t="str">
        <x:f>IF($E30="","",IF(OR($Q30="高",$P30="遅延"),"要","不要"))</x:f>
      </x:c>
      <x:c r="T30" s="27" t="str"/>
      <x:c r="U30" s="27" t="str"/>
      <x:c r="V30" s="27" t="str"/>
      <x:c r="W30" s="27" t="str"/>
    </x:row>
    <x:row r="31">
      <x:c r="A31" s="27" t="str"/>
      <x:c r="B31" s="27" t="str"/>
      <x:c r="C31" s="27" t="str"/>
      <x:c r="D31" s="27" t="str"/>
      <x:c r="E31" s="27" t="str"/>
      <x:c r="F31" s="27" t="str"/>
      <x:c r="G31" s="27" t="str"/>
      <x:c r="H31" s="27" t="str"/>
      <x:c r="I31" s="52" t="str"/>
      <x:c r="J31" s="52" t="str"/>
      <x:c r="K31" s="54" t="str"/>
      <x:c r="L31" s="27" t="str"/>
      <x:c r="M31" s="27" t="str"/>
      <x:c r="N31" s="27" t="str"/>
      <x:c r="O31" s="52" t="str"/>
      <x:c r="P31" s="27" t="str">
        <x:f>IF($E31="","",IF($L31="完了","完了",IF($J31="","未判定",IF($J31&lt;TODAY(),"遅延",IF(AND($J31&lt;=WORKDAY(TODAY(),3),$K31&lt;0.5),"遅延予兆","予定内")))))</x:f>
      </x:c>
      <x:c r="Q31" s="27" t="str">
        <x:f>IF($E31="","",IF($L31="完了","低",IF(OR($P31="遅延",AND($M31="高",OR(ISNUMBER(SEARCH("遅延",$N31)),ISNUMBER(SEARCH("未完了",$N31)),ISNUMBER(SEARCH("待ち",$N31)),ISNUMBER(SEARCH("調整",$N31)),ISNUMBER(SEARCH("不明",$N31))))),"高",IF(OR($P31="遅延予兆",$K31&lt;0.5,ISNUMBER(SEARCH("レビュー待ち",$N31)),ISNUMBER(SEARCH("前工程",$N31))),"中","低"))))</x:f>
      </x:c>
      <x:c r="R31" s="27" t="str">
        <x:f>IF($E31="","",IF($P31="遅延","期限超過",IF($Q31="高","重要度高または阻害要因あり",IF($Q31="中","進捗・待ち状況に注意","大きな懸念なし"))))</x:f>
      </x:c>
      <x:c r="S31" s="27" t="str">
        <x:f>IF($E31="","",IF(OR($Q31="高",$P31="遅延"),"要","不要"))</x:f>
      </x:c>
      <x:c r="T31" s="27" t="str"/>
      <x:c r="U31" s="27" t="str"/>
      <x:c r="V31" s="27" t="str"/>
      <x:c r="W31" s="27" t="str"/>
    </x:row>
    <x:row r="32">
      <x:c r="A32" s="27" t="str"/>
      <x:c r="B32" s="27" t="str"/>
      <x:c r="C32" s="27" t="str"/>
      <x:c r="D32" s="27" t="str"/>
      <x:c r="E32" s="27" t="str"/>
      <x:c r="F32" s="27" t="str"/>
      <x:c r="G32" s="27" t="str"/>
      <x:c r="H32" s="27" t="str"/>
      <x:c r="I32" s="52" t="str"/>
      <x:c r="J32" s="52" t="str"/>
      <x:c r="K32" s="54" t="str"/>
      <x:c r="L32" s="27" t="str"/>
      <x:c r="M32" s="27" t="str"/>
      <x:c r="N32" s="27" t="str"/>
      <x:c r="O32" s="52" t="str"/>
      <x:c r="P32" s="27" t="str">
        <x:f>IF($E32="","",IF($L32="完了","完了",IF($J32="","未判定",IF($J32&lt;TODAY(),"遅延",IF(AND($J32&lt;=WORKDAY(TODAY(),3),$K32&lt;0.5),"遅延予兆","予定内")))))</x:f>
      </x:c>
      <x:c r="Q32" s="27" t="str">
        <x:f>IF($E32="","",IF($L32="完了","低",IF(OR($P32="遅延",AND($M32="高",OR(ISNUMBER(SEARCH("遅延",$N32)),ISNUMBER(SEARCH("未完了",$N32)),ISNUMBER(SEARCH("待ち",$N32)),ISNUMBER(SEARCH("調整",$N32)),ISNUMBER(SEARCH("不明",$N32))))),"高",IF(OR($P32="遅延予兆",$K32&lt;0.5,ISNUMBER(SEARCH("レビュー待ち",$N32)),ISNUMBER(SEARCH("前工程",$N32))),"中","低"))))</x:f>
      </x:c>
      <x:c r="R32" s="27" t="str">
        <x:f>IF($E32="","",IF($P32="遅延","期限超過",IF($Q32="高","重要度高または阻害要因あり",IF($Q32="中","進捗・待ち状況に注意","大きな懸念なし"))))</x:f>
      </x:c>
      <x:c r="S32" s="27" t="str">
        <x:f>IF($E32="","",IF(OR($Q32="高",$P32="遅延"),"要","不要"))</x:f>
      </x:c>
      <x:c r="T32" s="27" t="str"/>
      <x:c r="U32" s="27" t="str"/>
      <x:c r="V32" s="27" t="str"/>
      <x:c r="W32" s="27" t="str"/>
    </x:row>
    <x:row r="33">
      <x:c r="A33" s="27" t="str"/>
      <x:c r="B33" s="27" t="str"/>
      <x:c r="C33" s="27" t="str"/>
      <x:c r="D33" s="27" t="str"/>
      <x:c r="E33" s="27" t="str"/>
      <x:c r="F33" s="27" t="str"/>
      <x:c r="G33" s="27" t="str"/>
      <x:c r="H33" s="27" t="str"/>
      <x:c r="I33" s="52" t="str"/>
      <x:c r="J33" s="52" t="str"/>
      <x:c r="K33" s="54" t="str"/>
      <x:c r="L33" s="27" t="str"/>
      <x:c r="M33" s="27" t="str"/>
      <x:c r="N33" s="27" t="str"/>
      <x:c r="O33" s="52" t="str"/>
      <x:c r="P33" s="27" t="str">
        <x:f>IF($E33="","",IF($L33="完了","完了",IF($J33="","未判定",IF($J33&lt;TODAY(),"遅延",IF(AND($J33&lt;=WORKDAY(TODAY(),3),$K33&lt;0.5),"遅延予兆","予定内")))))</x:f>
      </x:c>
      <x:c r="Q33" s="27" t="str">
        <x:f>IF($E33="","",IF($L33="完了","低",IF(OR($P33="遅延",AND($M33="高",OR(ISNUMBER(SEARCH("遅延",$N33)),ISNUMBER(SEARCH("未完了",$N33)),ISNUMBER(SEARCH("待ち",$N33)),ISNUMBER(SEARCH("調整",$N33)),ISNUMBER(SEARCH("不明",$N33))))),"高",IF(OR($P33="遅延予兆",$K33&lt;0.5,ISNUMBER(SEARCH("レビュー待ち",$N33)),ISNUMBER(SEARCH("前工程",$N33))),"中","低"))))</x:f>
      </x:c>
      <x:c r="R33" s="27" t="str">
        <x:f>IF($E33="","",IF($P33="遅延","期限超過",IF($Q33="高","重要度高または阻害要因あり",IF($Q33="中","進捗・待ち状況に注意","大きな懸念なし"))))</x:f>
      </x:c>
      <x:c r="S33" s="27" t="str">
        <x:f>IF($E33="","",IF(OR($Q33="高",$P33="遅延"),"要","不要"))</x:f>
      </x:c>
      <x:c r="T33" s="27" t="str"/>
      <x:c r="U33" s="27" t="str"/>
      <x:c r="V33" s="27" t="str"/>
      <x:c r="W33" s="27" t="str"/>
    </x:row>
    <x:row r="34">
      <x:c r="A34" s="27" t="str"/>
      <x:c r="B34" s="27" t="str"/>
      <x:c r="C34" s="27" t="str"/>
      <x:c r="D34" s="27" t="str"/>
      <x:c r="E34" s="27" t="str"/>
      <x:c r="F34" s="27" t="str"/>
      <x:c r="G34" s="27" t="str"/>
      <x:c r="H34" s="27" t="str"/>
      <x:c r="I34" s="52" t="str"/>
      <x:c r="J34" s="52" t="str"/>
      <x:c r="K34" s="54" t="str"/>
      <x:c r="L34" s="27" t="str"/>
      <x:c r="M34" s="27" t="str"/>
      <x:c r="N34" s="27" t="str"/>
      <x:c r="O34" s="52" t="str"/>
      <x:c r="P34" s="27" t="str">
        <x:f>IF($E34="","",IF($L34="完了","完了",IF($J34="","未判定",IF($J34&lt;TODAY(),"遅延",IF(AND($J34&lt;=WORKDAY(TODAY(),3),$K34&lt;0.5),"遅延予兆","予定内")))))</x:f>
      </x:c>
      <x:c r="Q34" s="27" t="str">
        <x:f>IF($E34="","",IF($L34="完了","低",IF(OR($P34="遅延",AND($M34="高",OR(ISNUMBER(SEARCH("遅延",$N34)),ISNUMBER(SEARCH("未完了",$N34)),ISNUMBER(SEARCH("待ち",$N34)),ISNUMBER(SEARCH("調整",$N34)),ISNUMBER(SEARCH("不明",$N34))))),"高",IF(OR($P34="遅延予兆",$K34&lt;0.5,ISNUMBER(SEARCH("レビュー待ち",$N34)),ISNUMBER(SEARCH("前工程",$N34))),"中","低"))))</x:f>
      </x:c>
      <x:c r="R34" s="27" t="str">
        <x:f>IF($E34="","",IF($P34="遅延","期限超過",IF($Q34="高","重要度高または阻害要因あり",IF($Q34="中","進捗・待ち状況に注意","大きな懸念なし"))))</x:f>
      </x:c>
      <x:c r="S34" s="27" t="str">
        <x:f>IF($E34="","",IF(OR($Q34="高",$P34="遅延"),"要","不要"))</x:f>
      </x:c>
      <x:c r="T34" s="27" t="str"/>
      <x:c r="U34" s="27" t="str"/>
      <x:c r="V34" s="27" t="str"/>
      <x:c r="W34" s="27" t="str"/>
    </x:row>
    <x:row r="35">
      <x:c r="A35" s="27" t="str"/>
      <x:c r="B35" s="27" t="str"/>
      <x:c r="C35" s="27" t="str"/>
      <x:c r="D35" s="27" t="str"/>
      <x:c r="E35" s="27" t="str"/>
      <x:c r="F35" s="27" t="str"/>
      <x:c r="G35" s="27" t="str"/>
      <x:c r="H35" s="27" t="str"/>
      <x:c r="I35" s="52" t="str"/>
      <x:c r="J35" s="52" t="str"/>
      <x:c r="K35" s="54" t="str"/>
      <x:c r="L35" s="27" t="str"/>
      <x:c r="M35" s="27" t="str"/>
      <x:c r="N35" s="27" t="str"/>
      <x:c r="O35" s="52" t="str"/>
      <x:c r="P35" s="27" t="str">
        <x:f>IF($E35="","",IF($L35="完了","完了",IF($J35="","未判定",IF($J35&lt;TODAY(),"遅延",IF(AND($J35&lt;=WORKDAY(TODAY(),3),$K35&lt;0.5),"遅延予兆","予定内")))))</x:f>
      </x:c>
      <x:c r="Q35" s="27" t="str">
        <x:f>IF($E35="","",IF($L35="完了","低",IF(OR($P35="遅延",AND($M35="高",OR(ISNUMBER(SEARCH("遅延",$N35)),ISNUMBER(SEARCH("未完了",$N35)),ISNUMBER(SEARCH("待ち",$N35)),ISNUMBER(SEARCH("調整",$N35)),ISNUMBER(SEARCH("不明",$N35))))),"高",IF(OR($P35="遅延予兆",$K35&lt;0.5,ISNUMBER(SEARCH("レビュー待ち",$N35)),ISNUMBER(SEARCH("前工程",$N35))),"中","低"))))</x:f>
      </x:c>
      <x:c r="R35" s="27" t="str">
        <x:f>IF($E35="","",IF($P35="遅延","期限超過",IF($Q35="高","重要度高または阻害要因あり",IF($Q35="中","進捗・待ち状況に注意","大きな懸念なし"))))</x:f>
      </x:c>
      <x:c r="S35" s="27" t="str">
        <x:f>IF($E35="","",IF(OR($Q35="高",$P35="遅延"),"要","不要"))</x:f>
      </x:c>
      <x:c r="T35" s="27" t="str"/>
      <x:c r="U35" s="27" t="str"/>
      <x:c r="V35" s="27" t="str"/>
      <x:c r="W35" s="27" t="str"/>
    </x:row>
  </x:sheetData>
  <x:mergeCells>
    <x:mergeCell ref="A1:W1"/>
    <x:mergeCell ref="A3:W3"/>
  </x:mergeCells>
  <x:conditionalFormatting sqref="A6:W35">
    <x:cfRule type="expression" dxfId="0" priority="1">
      <x:formula>$Q6="高"</x:formula>
    </x:cfRule>
    <x:cfRule type="expression" dxfId="1" priority="2">
      <x:formula>$Q6="中"</x:formula>
    </x:cfRule>
    <x:cfRule type="expression" dxfId="2" priority="3">
      <x:formula>$P6="遅延"</x:formula>
    </x:cfRule>
  </x:conditionalFormatting>
  <x:conditionalFormatting sqref="K6:K35">
    <x:cfRule type="dataBar" priority="4">
      <x:dataBar>
        <x:cfvo type="min"/>
        <x:cfvo type="max"/>
        <x:color rgb="FF60A5FA"/>
      </x:dataBar>
      <x:extLst>
        <x:ext xmlns:x14="http://schemas.microsoft.com/office/spreadsheetml/2009/9/main" uri="{B025F937-C7B1-47D3-B67F-A62EFF666E3E}">
          <x14:id>{782D71E6-3A4D-4897-4015-0036138C66D3}</x14:id>
        </x:ext>
      </x:extLst>
    </x:cfRule>
  </x:conditionalFormatting>
  <x:dataValidations count="6">
    <x:dataValidation type="list" sqref="C6:C35">
      <x:formula1>"立ち上げ,要件定義,設計,構築,テスト,リリース,定着化"</x:formula1>
    </x:dataValidation>
    <x:dataValidation type="list" sqref="L6:L35">
      <x:formula1>"未着手,進行中,完了,保留"</x:formula1>
    </x:dataValidation>
    <x:dataValidation type="list" sqref="M6:M35">
      <x:formula1>"高,中,低"</x:formula1>
    </x:dataValidation>
    <x:dataValidation type="list" sqref="P6:P35">
      <x:formula1>"未判定,予定内,遅延予兆,遅延,完了"</x:formula1>
    </x:dataValidation>
    <x:dataValidation type="list" sqref="Q6:Q35">
      <x:formula1>"高,中,低"</x:formula1>
    </x:dataValidation>
    <x:dataValidation type="list" sqref="S6:S35">
      <x:formula1>"要,不要"</x:formula1>
    </x:dataValidation>
  </x:dataValidations>
  <x:pageMargins left="0.7" right="0.7" top="0.75" bottom="0.75" header="0.3" footer="0.3"/>
  <x:tableParts count="1">
    <x:tablePart xmlns:r="http://schemas.openxmlformats.org/officeDocument/2006/relationships" r:id="R02489f1588db41a3"/>
  </x:tableParts>
  <x:extLst>
    <x:ext xmlns:x14="http://schemas.microsoft.com/office/spreadsheetml/2009/9/main" xmlns:xm="http://schemas.microsoft.com/office/excel/2006/main" uri="{78C0D931-6437-407d-A8EE-F0AAD7539E65}">
      <x14:conditionalFormattings>
        <x14:conditionalFormatting>
          <x14:cfRule type="dataBar" priority="4" id="{782D71E6-3A4D-4897-4015-0036138C66D3}">
            <x14:dataBar gradient="1">
              <x14:cfvo type="min"/>
              <x14:cfvo type="max"/>
              <x14:fillColor rgb="FF60A5FA"/>
            </x14:dataBar>
          </x14:cfRule>
          <xm:sqref>K6:K35</xm:sqref>
        </x14:conditionalFormatting>
      </x14:conditionalFormattings>
    </x:ext>
  </x:extLst>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62" hidden="0" customWidth="1"/>
    <x:col min="4" max="4" width="42" hidden="0" customWidth="1"/>
    <x:col min="5" max="5" width="20" hidden="0" customWidth="1"/>
    <x:col min="6" max="6" width="18" hidden="0" customWidth="1"/>
    <x:col min="7" max="7" width="42" hidden="0" customWidth="1"/>
  </x:cols>
  <x:sheetData>
    <x:row r="1" ht="30" customHeight="1">
      <x:c r="A1" s="5" t="str">
        <x:v>03_判定基準｜遅延・リスク・エスカレーションの基準</x:v>
      </x:c>
      <x:c r="B1" s="5"/>
      <x:c r="C1" s="5"/>
      <x:c r="D1" s="5"/>
      <x:c r="E1" s="5"/>
      <x:c r="F1" s="5"/>
      <x:c r="G1" s="5"/>
    </x:row>
    <x:row r="3" ht="45" customHeight="1">
      <x:c r="A3" s="112" t="str">
        <x:v>Copilotには、このシートを判定の前提として参照させます。社内基準や案件特性がある場合は、まずこのシートを修正してください。</x:v>
      </x:c>
      <x:c r="B3" s="112"/>
      <x:c r="C3" s="112"/>
      <x:c r="D3" s="112"/>
      <x:c r="E3" s="112"/>
      <x:c r="F3" s="112"/>
      <x:c r="G3" s="112"/>
    </x:row>
    <x:row r="5">
      <x:c r="A5" s="21" t="str">
        <x:v>判定項目</x:v>
      </x:c>
      <x:c r="B5" s="21" t="str">
        <x:v>レベル / 区分</x:v>
      </x:c>
      <x:c r="C5" s="21" t="str">
        <x:v>基準</x:v>
      </x:c>
      <x:c r="D5" s="21" t="str">
        <x:v>Copilotへの扱い</x:v>
      </x:c>
      <x:c r="E5" s="21" t="str">
        <x:v>入力欄</x:v>
      </x:c>
      <x:c r="F5" s="21" t="str">
        <x:v>値</x:v>
      </x:c>
      <x:c r="G5" s="21" t="str">
        <x:v>備考</x:v>
      </x:c>
    </x:row>
    <x:row r="6">
      <x:c r="A6" s="27" t="str">
        <x:v>遅延判定</x:v>
      </x:c>
      <x:c r="B6" s="27" t="str">
        <x:v>遅延</x:v>
      </x:c>
      <x:c r="C6" s="27" t="str">
        <x:v>期限を過ぎており、ステータスが完了ではない</x:v>
      </x:c>
      <x:c r="D6" s="27" t="str">
        <x:v>必ず要注意として扱う</x:v>
      </x:c>
      <x:c r="E6" s="27" t="str">
        <x:v>基準日</x:v>
      </x:c>
      <x:c r="F6" s="52" t="n">
        <x:f>TODAY()</x:f>
        <x:v>46195</x:v>
      </x:c>
      <x:c r="G6" s="27" t="str">
        <x:v>遅延判定の基準日。必要に応じて固定日付に変更。</x:v>
      </x:c>
    </x:row>
    <x:row r="7">
      <x:c r="A7" s="27" t="str">
        <x:v>遅延判定</x:v>
      </x:c>
      <x:c r="B7" s="27" t="str">
        <x:v>遅延予兆</x:v>
      </x:c>
      <x:c r="C7" s="27" t="str">
        <x:v>期限まで3営業日以内、かつ進捗率が50%未満</x:v>
      </x:c>
      <x:c r="D7" s="27" t="str">
        <x:v>週次定例で確認事項に入れる</x:v>
      </x:c>
      <x:c r="E7" s="27" t="str">
        <x:v>遅延予兆の営業日数</x:v>
      </x:c>
      <x:c r="F7" s="27" t="n">
        <x:v>3</x:v>
      </x:c>
      <x:c r="G7" s="27" t="str">
        <x:v>期限まで何営業日以内を予兆にするか。</x:v>
      </x:c>
    </x:row>
    <x:row r="8">
      <x:c r="A8" s="27" t="str">
        <x:v>遅延判定</x:v>
      </x:c>
      <x:c r="B8" s="27" t="str">
        <x:v>予定内</x:v>
      </x:c>
      <x:c r="C8" s="27" t="str">
        <x:v>期限内で、進捗やステータスに大きな問題がない</x:v>
      </x:c>
      <x:c r="D8" s="27" t="str">
        <x:v>通常監視</x:v>
      </x:c>
      <x:c r="E8" s="27" t="str">
        <x:v>低進捗しきい値</x:v>
      </x:c>
      <x:c r="F8" s="54" t="n">
        <x:v>0.5</x:v>
      </x:c>
      <x:c r="G8" s="27" t="str">
        <x:v>50%未満を低進捗として扱う。</x:v>
      </x:c>
    </x:row>
    <x:row r="9">
      <x:c r="A9" s="27" t="str">
        <x:v>リスク判定</x:v>
      </x:c>
      <x:c r="B9" s="27" t="str">
        <x:v>高</x:v>
      </x:c>
      <x:c r="C9" s="27" t="str">
        <x:v>重要度が高く、遅延・未完了・待ち・調整・不明などの阻害要因がある</x:v>
      </x:c>
      <x:c r="D9" s="27" t="str">
        <x:v>PMOコメントと次アクションを必ず記載</x:v>
      </x:c>
      <x:c r="E9" s="27" t="str">
        <x:v>PMO確認対象</x:v>
      </x:c>
      <x:c r="F9" s="27" t="str">
        <x:v>高リスク / 遅延 / エスカレーション要</x:v>
      </x:c>
      <x:c r="G9" s="27" t="str">
        <x:v>週次ヘルスチェックに必ず含める。</x:v>
      </x:c>
    </x:row>
    <x:row r="10">
      <x:c r="A10" s="27" t="str">
        <x:v>リスク判定</x:v>
      </x:c>
      <x:c r="B10" s="27" t="str">
        <x:v>中</x:v>
      </x:c>
      <x:c r="C10" s="27" t="str">
        <x:v>進捗率が低い、または前工程待ち・レビュー待ち・関係者待ちがある</x:v>
      </x:c>
      <x:c r="D10" s="27" t="str">
        <x:v>確認先と期限を明確にする</x:v>
      </x:c>
    </x:row>
    <x:row r="11">
      <x:c r="A11" s="27" t="str">
        <x:v>リスク判定</x:v>
      </x:c>
      <x:c r="B11" s="27" t="str">
        <x:v>低</x:v>
      </x:c>
      <x:c r="C11" s="27" t="str">
        <x:v>期限・進捗・課題メモに大きな懸念がない</x:v>
      </x:c>
      <x:c r="D11" s="27" t="str">
        <x:v>必要最小限のコメントでよい</x:v>
      </x:c>
    </x:row>
    <x:row r="12">
      <x:c r="A12" s="27" t="str">
        <x:v>エスカレーション</x:v>
      </x:c>
      <x:c r="B12" s="27" t="str">
        <x:v>要</x:v>
      </x:c>
      <x:c r="C12" s="27" t="str">
        <x:v>高リスク、期限超過、複数関係者の調整待ち、判断者不在のいずれかに該当</x:v>
      </x:c>
      <x:c r="D12" s="27" t="str">
        <x:v>報告文の判断・支援依頼に含める</x:v>
      </x:c>
    </x:row>
    <x:row r="13">
      <x:c r="A13" s="27" t="str">
        <x:v>エスカレーション</x:v>
      </x:c>
      <x:c r="B13" s="27" t="str">
        <x:v>不要</x:v>
      </x:c>
      <x:c r="C13" s="27" t="str">
        <x:v>担当内で対応可能で、期限・進捗に大きな影響がない</x:v>
      </x:c>
      <x:c r="D13" s="27" t="str">
        <x:v>通常アクションとして整理</x:v>
      </x:c>
    </x:row>
    <x:row r="15">
      <x:c r="A15" s="60" t="str">
        <x:v>阻害キーワード</x:v>
      </x:c>
      <x:c r="B15" s="60" t="str">
        <x:v>意味</x:v>
      </x:c>
      <x:c r="C15" s="60" t="str">
        <x:v>使い方</x:v>
      </x:c>
    </x:row>
    <x:row r="16">
      <x:c r="A16" s="27" t="str">
        <x:v>遅延</x:v>
      </x:c>
      <x:c r="B16" s="27" t="str">
        <x:v>期限や前工程の遅れ</x:v>
      </x:c>
      <x:c r="C16" s="27" t="str">
        <x:v>高リスク候補</x:v>
      </x:c>
    </x:row>
    <x:row r="17">
      <x:c r="A17" s="27" t="str">
        <x:v>未完了</x:v>
      </x:c>
      <x:c r="B17" s="27" t="str">
        <x:v>前提作業・資料・レビューが終わっていない</x:v>
      </x:c>
      <x:c r="C17" s="27" t="str">
        <x:v>高リスク候補</x:v>
      </x:c>
    </x:row>
    <x:row r="18">
      <x:c r="A18" s="27" t="str">
        <x:v>待ち</x:v>
      </x:c>
      <x:c r="B18" s="27" t="str">
        <x:v>関係者や前工程に依存している</x:v>
      </x:c>
      <x:c r="C18" s="27" t="str">
        <x:v>中〜高リスク候補</x:v>
      </x:c>
    </x:row>
    <x:row r="19">
      <x:c r="A19" s="27" t="str">
        <x:v>調整中</x:v>
      </x:c>
      <x:c r="B19" s="27" t="str">
        <x:v>日程・合意・担当などが固まっていない</x:v>
      </x:c>
      <x:c r="C19" s="27" t="str">
        <x:v>中〜高リスク候補</x:v>
      </x:c>
    </x:row>
    <x:row r="20">
      <x:c r="A20" s="27" t="str">
        <x:v>不明</x:v>
      </x:c>
      <x:c r="B20" s="27" t="str">
        <x:v>要件・責任・期限が曖昧</x:v>
      </x:c>
      <x:c r="C20" s="27" t="str">
        <x:v>高リスク候補</x:v>
      </x:c>
    </x:row>
    <x:row r="21">
      <x:c r="A21" s="27" t="str">
        <x:v>レビュー待ち</x:v>
      </x:c>
      <x:c r="B21" s="27" t="str">
        <x:v>確認者の対応に依存</x:v>
      </x:c>
      <x:c r="C21" s="27" t="str">
        <x:v>中リスク候補</x:v>
      </x:c>
    </x:row>
    <x:row r="22">
      <x:c r="A22" s="27" t="str">
        <x:v>前工程</x:v>
      </x:c>
      <x:c r="B22" s="27" t="str">
        <x:v>後続タスクに影響する依存関係</x:v>
      </x:c>
      <x:c r="C22" s="27" t="str">
        <x:v>中〜高リスク候補</x:v>
      </x:c>
    </x:row>
  </x:sheetData>
  <x:mergeCells>
    <x:mergeCell ref="A1:G1"/>
    <x:mergeCell ref="A3:G3"/>
  </x:mergeCells>
  <x:pageMargins left="0.7" right="0.7" top="0.75" bottom="0.75" header="0.3" footer="0.3"/>
  <x:tableParts count="2">
    <x:tablePart xmlns:r="http://schemas.openxmlformats.org/officeDocument/2006/relationships" r:id="Rc822d4cc70354bf7"/>
    <x:tablePart xmlns:r="http://schemas.openxmlformats.org/officeDocument/2006/relationships" r:id="Rd0daf2432f1e4406"/>
  </x:tableParts>
</x:worksheet>
</file>

<file path=xl/worksheets/sheet5.xml><?xml version="1.0" encoding="utf-8"?>
<x:worksheet xmlns:x="http://schemas.openxmlformats.org/spreadsheetml/2006/main">
  <x:sheetFormatPr defaultRowHeight="15"/>
  <x:cols>
    <x:col min="1" max="1" width="12" hidden="0" customWidth="1"/>
    <x:col min="2" max="2" width="16" hidden="0" customWidth="1"/>
    <x:col min="3" max="3" width="26" hidden="0" customWidth="1"/>
    <x:col min="4" max="4" width="14" hidden="0" customWidth="1"/>
    <x:col min="5" max="5" width="14" hidden="0" customWidth="1"/>
    <x:col min="6" max="6" width="14" hidden="0" customWidth="1"/>
    <x:col min="7" max="7" width="12" hidden="0" customWidth="1"/>
    <x:col min="8" max="8" width="30" hidden="0" customWidth="1"/>
    <x:col min="9" max="9" width="18" hidden="0" customWidth="1"/>
    <x:col min="10" max="10" width="34" hidden="0" customWidth="1"/>
  </x:cols>
  <x:sheetData>
    <x:row r="1" ht="30" customHeight="1">
      <x:c r="A1" s="5" t="str">
        <x:v>04_週次ヘルスチェック｜WBSからCopilotに埋めてもらう週次確認表</x:v>
      </x:c>
      <x:c r="B1" s="5"/>
      <x:c r="C1" s="5"/>
      <x:c r="D1" s="5"/>
      <x:c r="E1" s="5"/>
      <x:c r="F1" s="5"/>
      <x:c r="G1" s="5"/>
      <x:c r="H1" s="5"/>
      <x:c r="I1" s="5"/>
      <x:c r="J1" s="5"/>
    </x:row>
    <x:row r="3" ht="45" customHeight="1">
      <x:c r="A3" s="112" t="str">
        <x:v>このシートは、02_WBSテンプレの状態を週次定例で確認できる形に整理するための出力先です。KPIは簡易式で自動集計し、詳細コメントや確認事項はCopilotに作成させます。</x:v>
      </x:c>
      <x:c r="B3" s="112"/>
      <x:c r="C3" s="112"/>
      <x:c r="D3" s="112"/>
      <x:c r="E3" s="112"/>
      <x:c r="F3" s="112"/>
      <x:c r="G3" s="112"/>
      <x:c r="H3" s="112"/>
      <x:c r="I3" s="112"/>
      <x:c r="J3" s="112"/>
    </x:row>
    <x:row r="5">
      <x:c r="A5" s="33" t="str">
        <x:v>週次KPI</x:v>
      </x:c>
      <x:c r="B5" s="33" t="str"/>
      <x:c r="C5" s="33" t="str"/>
      <x:c r="D5" s="33" t="str"/>
      <x:c r="E5" s="33" t="str"/>
      <x:c r="F5" s="33" t="str"/>
      <x:c r="G5" s="33" t="str"/>
      <x:c r="H5" s="33" t="str"/>
      <x:c r="I5" s="33" t="str"/>
      <x:c r="J5" s="33" t="str"/>
    </x:row>
    <x:row r="6">
      <x:c r="A6" s="21" t="str">
        <x:v>基準日</x:v>
      </x:c>
      <x:c r="B6" s="21" t="str">
        <x:v>全体ステータス</x:v>
      </x:c>
      <x:c r="C6" s="21" t="str">
        <x:v>総タスク数</x:v>
      </x:c>
      <x:c r="D6" s="21" t="str">
        <x:v>完了数</x:v>
      </x:c>
      <x:c r="E6" s="21" t="str">
        <x:v>遅延数</x:v>
      </x:c>
      <x:c r="F6" s="21" t="str">
        <x:v>高リスク数</x:v>
      </x:c>
      <x:c r="G6" s="21" t="str">
        <x:v>エスカレーション要</x:v>
      </x:c>
      <x:c r="H6" s="21" t="str">
        <x:v>平均進捗率</x:v>
      </x:c>
      <x:c r="I6" s="21" t="str">
        <x:v>今週の重点</x:v>
      </x:c>
      <x:c r="J6" s="21" t="str">
        <x:v>報告先</x:v>
      </x:c>
    </x:row>
    <x:row r="7">
      <x:c r="A7" s="86" t="n">
        <x:f>TODAY()</x:f>
        <x:v>46195</x:v>
      </x:c>
      <x:c r="B7" s="87" t="str">
        <x:f>IF(OR(F7&gt;0,G7&gt;0,E7&gt;0),"黄","緑")</x:f>
        <x:v>緑</x:v>
      </x:c>
      <x:c r="C7" s="87" t="n">
        <x:f>COUNTIF('02_WBSテンプレ'!$E$6:$E$35,"?*")</x:f>
        <x:v>0</x:v>
      </x:c>
      <x:c r="D7" s="87" t="n">
        <x:f>COUNTIF('02_WBSテンプレ'!$L$6:$L$35,"完了")</x:f>
        <x:v>0</x:v>
      </x:c>
      <x:c r="E7" s="87" t="n">
        <x:f>COUNTIF('02_WBSテンプレ'!$P$6:$P$35,"遅延")</x:f>
        <x:v>0</x:v>
      </x:c>
      <x:c r="F7" s="87" t="n">
        <x:f>COUNTIF('02_WBSテンプレ'!$Q$6:$Q$35,"高")</x:f>
        <x:v>0</x:v>
      </x:c>
      <x:c r="G7" s="87" t="n">
        <x:f>COUNTIF('02_WBSテンプレ'!$S$6:$S$35,"要")</x:f>
        <x:v>0</x:v>
      </x:c>
      <x:c r="H7" s="88" t="n">
        <x:f>IFERROR(SUM('02_WBSテンプレ'!$K$6:$K$35)/COUNTIF('02_WBSテンプレ'!$E$6:$E$35,"?*"),0)</x:f>
        <x:v>0</x:v>
      </x:c>
      <x:c r="I7" s="87" t="str">
        <x:v>Copilotに作成</x:v>
      </x:c>
      <x:c r="J7" s="87" t="str">
        <x:v>Copilotに作成</x:v>
      </x:c>
    </x:row>
    <x:row r="10">
      <x:c r="A10" s="33" t="str">
        <x:v>プロジェクト別 / 工程別の見立て</x:v>
      </x:c>
      <x:c r="B10" s="33" t="str"/>
      <x:c r="C10" s="33" t="str"/>
      <x:c r="D10" s="33" t="str"/>
      <x:c r="E10" s="33" t="str"/>
      <x:c r="F10" s="33" t="str"/>
      <x:c r="G10" s="33" t="str"/>
      <x:c r="H10" s="33" t="str"/>
      <x:c r="I10" s="33" t="str"/>
      <x:c r="J10" s="33" t="str"/>
    </x:row>
    <x:row r="11">
      <x:c r="A11" s="21" t="str">
        <x:v>観点</x:v>
      </x:c>
      <x:c r="B11" s="21" t="str">
        <x:v>現状</x:v>
      </x:c>
      <x:c r="C11" s="21" t="str">
        <x:v>主な根拠</x:v>
      </x:c>
      <x:c r="D11" s="21" t="str">
        <x:v>PMO確認事項</x:v>
      </x:c>
      <x:c r="E11" s="21" t="str">
        <x:v>次アクション</x:v>
      </x:c>
    </x:row>
    <x:row r="12">
      <x:c r="A12" s="27" t="str">
        <x:v>全体状況</x:v>
      </x:c>
      <x:c r="B12" s="27" t="str"/>
      <x:c r="C12" s="27" t="str"/>
      <x:c r="D12" s="27" t="str"/>
      <x:c r="E12" s="27" t="str"/>
    </x:row>
    <x:row r="13">
      <x:c r="A13" s="27" t="str">
        <x:v>工程別の詰まり</x:v>
      </x:c>
      <x:c r="B13" s="27" t="str"/>
      <x:c r="C13" s="27" t="str"/>
      <x:c r="D13" s="27" t="str"/>
      <x:c r="E13" s="27" t="str"/>
    </x:row>
    <x:row r="14">
      <x:c r="A14" s="27" t="str">
        <x:v>担当者別の負荷</x:v>
      </x:c>
      <x:c r="B14" s="27" t="str"/>
      <x:c r="C14" s="27" t="str"/>
      <x:c r="D14" s="27" t="str"/>
      <x:c r="E14" s="27" t="str"/>
    </x:row>
    <x:row r="15">
      <x:c r="A15" s="27" t="str">
        <x:v>期限・マイルストーン</x:v>
      </x:c>
      <x:c r="B15" s="27" t="str"/>
      <x:c r="C15" s="27" t="str"/>
      <x:c r="D15" s="27" t="str"/>
      <x:c r="E15" s="27" t="str"/>
    </x:row>
    <x:row r="16">
      <x:c r="A16" s="27" t="str">
        <x:v>関係者調整</x:v>
      </x:c>
      <x:c r="B16" s="27" t="str"/>
      <x:c r="C16" s="27" t="str"/>
      <x:c r="D16" s="27" t="str"/>
      <x:c r="E16" s="27" t="str"/>
    </x:row>
    <x:row r="18">
      <x:c r="A18" s="33" t="str">
        <x:v>要注意タスク一覧</x:v>
      </x:c>
      <x:c r="B18" s="33" t="str"/>
      <x:c r="C18" s="33" t="str"/>
      <x:c r="D18" s="33" t="str"/>
      <x:c r="E18" s="33" t="str"/>
      <x:c r="F18" s="33" t="str"/>
      <x:c r="G18" s="33" t="str"/>
      <x:c r="H18" s="33" t="str"/>
      <x:c r="I18" s="33" t="str"/>
      <x:c r="J18" s="33" t="str"/>
    </x:row>
    <x:row r="19">
      <x:c r="A19" s="21" t="str">
        <x:v>WBS ID</x:v>
      </x:c>
      <x:c r="B19" s="21" t="str">
        <x:v>工程</x:v>
      </x:c>
      <x:c r="C19" s="21" t="str">
        <x:v>タスク名</x:v>
      </x:c>
      <x:c r="D19" s="21" t="str">
        <x:v>担当</x:v>
      </x:c>
      <x:c r="E19" s="21" t="str">
        <x:v>期限</x:v>
      </x:c>
      <x:c r="F19" s="21" t="str">
        <x:v>遅延判定</x:v>
      </x:c>
      <x:c r="G19" s="21" t="str">
        <x:v>リスク</x:v>
      </x:c>
      <x:c r="H19" s="21" t="str">
        <x:v>リスク理由</x:v>
      </x:c>
      <x:c r="I19" s="21" t="str">
        <x:v>エスカレーション</x:v>
      </x:c>
      <x:c r="J19" s="21" t="str">
        <x:v>次アクション</x:v>
      </x:c>
    </x:row>
    <x:row r="20">
      <x:c r="A20" s="27" t="str"/>
      <x:c r="B20" s="27" t="str"/>
      <x:c r="C20" s="27" t="str"/>
      <x:c r="D20" s="27" t="str"/>
      <x:c r="E20" s="52" t="str"/>
      <x:c r="F20" s="27" t="str"/>
      <x:c r="G20" s="27" t="str"/>
      <x:c r="H20" s="27" t="str"/>
      <x:c r="I20" s="27" t="str"/>
      <x:c r="J20" s="27" t="str"/>
    </x:row>
    <x:row r="21">
      <x:c r="A21" s="27" t="str"/>
      <x:c r="B21" s="27" t="str"/>
      <x:c r="C21" s="27" t="str"/>
      <x:c r="D21" s="27" t="str"/>
      <x:c r="E21" s="52" t="str"/>
      <x:c r="F21" s="27" t="str"/>
      <x:c r="G21" s="27" t="str"/>
      <x:c r="H21" s="27" t="str"/>
      <x:c r="I21" s="27" t="str"/>
      <x:c r="J21" s="27" t="str"/>
    </x:row>
    <x:row r="22">
      <x:c r="A22" s="27" t="str"/>
      <x:c r="B22" s="27" t="str"/>
      <x:c r="C22" s="27" t="str"/>
      <x:c r="D22" s="27" t="str"/>
      <x:c r="E22" s="52" t="str"/>
      <x:c r="F22" s="27" t="str"/>
      <x:c r="G22" s="27" t="str"/>
      <x:c r="H22" s="27" t="str"/>
      <x:c r="I22" s="27" t="str"/>
      <x:c r="J22" s="27" t="str"/>
    </x:row>
    <x:row r="23">
      <x:c r="A23" s="27" t="str"/>
      <x:c r="B23" s="27" t="str"/>
      <x:c r="C23" s="27" t="str"/>
      <x:c r="D23" s="27" t="str"/>
      <x:c r="E23" s="52" t="str"/>
      <x:c r="F23" s="27" t="str"/>
      <x:c r="G23" s="27" t="str"/>
      <x:c r="H23" s="27" t="str"/>
      <x:c r="I23" s="27" t="str"/>
      <x:c r="J23" s="27" t="str"/>
    </x:row>
    <x:row r="24">
      <x:c r="A24" s="27" t="str"/>
      <x:c r="B24" s="27" t="str"/>
      <x:c r="C24" s="27" t="str"/>
      <x:c r="D24" s="27" t="str"/>
      <x:c r="E24" s="52" t="str"/>
      <x:c r="F24" s="27" t="str"/>
      <x:c r="G24" s="27" t="str"/>
      <x:c r="H24" s="27" t="str"/>
      <x:c r="I24" s="27" t="str"/>
      <x:c r="J24" s="27" t="str"/>
    </x:row>
    <x:row r="25">
      <x:c r="A25" s="27" t="str"/>
      <x:c r="B25" s="27" t="str"/>
      <x:c r="C25" s="27" t="str"/>
      <x:c r="D25" s="27" t="str"/>
      <x:c r="E25" s="52" t="str"/>
      <x:c r="F25" s="27" t="str"/>
      <x:c r="G25" s="27" t="str"/>
      <x:c r="H25" s="27" t="str"/>
      <x:c r="I25" s="27" t="str"/>
      <x:c r="J25" s="27" t="str"/>
    </x:row>
    <x:row r="26">
      <x:c r="A26" s="27" t="str"/>
      <x:c r="B26" s="27" t="str"/>
      <x:c r="C26" s="27" t="str"/>
      <x:c r="D26" s="27" t="str"/>
      <x:c r="E26" s="52" t="str"/>
      <x:c r="F26" s="27" t="str"/>
      <x:c r="G26" s="27" t="str"/>
      <x:c r="H26" s="27" t="str"/>
      <x:c r="I26" s="27" t="str"/>
      <x:c r="J26" s="27" t="str"/>
    </x:row>
    <x:row r="27">
      <x:c r="A27" s="27" t="str"/>
      <x:c r="B27" s="27" t="str"/>
      <x:c r="C27" s="27" t="str"/>
      <x:c r="D27" s="27" t="str"/>
      <x:c r="E27" s="52" t="str"/>
      <x:c r="F27" s="27" t="str"/>
      <x:c r="G27" s="27" t="str"/>
      <x:c r="H27" s="27" t="str"/>
      <x:c r="I27" s="27" t="str"/>
      <x:c r="J27" s="27" t="str"/>
    </x:row>
    <x:row r="28">
      <x:c r="A28" s="27" t="str"/>
      <x:c r="B28" s="27" t="str"/>
      <x:c r="C28" s="27" t="str"/>
      <x:c r="D28" s="27" t="str"/>
      <x:c r="E28" s="52" t="str"/>
      <x:c r="F28" s="27" t="str"/>
      <x:c r="G28" s="27" t="str"/>
      <x:c r="H28" s="27" t="str"/>
      <x:c r="I28" s="27" t="str"/>
      <x:c r="J28" s="27" t="str"/>
    </x:row>
    <x:row r="29">
      <x:c r="A29" s="27" t="str"/>
      <x:c r="B29" s="27" t="str"/>
      <x:c r="C29" s="27" t="str"/>
      <x:c r="D29" s="27" t="str"/>
      <x:c r="E29" s="52" t="str"/>
      <x:c r="F29" s="27" t="str"/>
      <x:c r="G29" s="27" t="str"/>
      <x:c r="H29" s="27" t="str"/>
      <x:c r="I29" s="27" t="str"/>
      <x:c r="J29" s="27" t="str"/>
    </x:row>
    <x:row r="31">
      <x:c r="A31" s="33" t="str">
        <x:v>今週の重点確認事項</x:v>
      </x:c>
      <x:c r="B31" s="33" t="str"/>
      <x:c r="C31" s="33" t="str"/>
      <x:c r="D31" s="33" t="str"/>
      <x:c r="E31" s="33" t="str"/>
      <x:c r="F31" s="33" t="str"/>
      <x:c r="G31" s="33" t="str"/>
      <x:c r="H31" s="33" t="str"/>
      <x:c r="I31" s="33" t="str"/>
      <x:c r="J31" s="33" t="str"/>
    </x:row>
    <x:row r="32">
      <x:c r="A32" s="21" t="str">
        <x:v>No</x:v>
      </x:c>
      <x:c r="B32" s="21" t="str">
        <x:v>確認すべき質問</x:v>
      </x:c>
      <x:c r="C32" s="21" t="str">
        <x:v>確認先</x:v>
      </x:c>
    </x:row>
    <x:row r="33">
      <x:c r="A33" s="27" t="n">
        <x:v>1</x:v>
      </x:c>
      <x:c r="B33" s="27" t="str"/>
      <x:c r="C33" s="27" t="str"/>
    </x:row>
    <x:row r="34">
      <x:c r="A34" s="27" t="n">
        <x:v>2</x:v>
      </x:c>
      <x:c r="B34" s="27" t="str"/>
      <x:c r="C34" s="27" t="str"/>
    </x:row>
    <x:row r="35">
      <x:c r="A35" s="27" t="n">
        <x:v>3</x:v>
      </x:c>
      <x:c r="B35" s="27" t="str"/>
      <x:c r="C35" s="27" t="str"/>
    </x:row>
    <x:row r="36">
      <x:c r="A36" s="27" t="n">
        <x:v>4</x:v>
      </x:c>
      <x:c r="B36" s="27" t="str"/>
      <x:c r="C36" s="27" t="str"/>
    </x:row>
    <x:row r="37">
      <x:c r="A37" s="27" t="n">
        <x:v>5</x:v>
      </x:c>
      <x:c r="B37" s="27" t="str"/>
      <x:c r="C37" s="27" t="str"/>
    </x:row>
    <x:row r="38">
      <x:c r="A38" s="27" t="n">
        <x:v>6</x:v>
      </x:c>
      <x:c r="B38" s="27" t="str"/>
      <x:c r="C38" s="27" t="str"/>
    </x:row>
    <x:row r="39">
      <x:c r="A39" s="27" t="n">
        <x:v>7</x:v>
      </x:c>
      <x:c r="B39" s="27" t="str"/>
      <x:c r="C39" s="27" t="str"/>
    </x:row>
  </x:sheetData>
  <x:mergeCells>
    <x:mergeCell ref="A1:J1"/>
    <x:mergeCell ref="A5:J5"/>
    <x:mergeCell ref="A10:J10"/>
    <x:mergeCell ref="A18:J18"/>
    <x:mergeCell ref="A31:J31"/>
    <x:mergeCell ref="A3:J3"/>
  </x:mergeCells>
  <x:conditionalFormatting sqref="A20:J29">
    <x:cfRule type="expression" dxfId="3" priority="1">
      <x:formula>$G20="高"</x:formula>
    </x:cfRule>
    <x:cfRule type="expression" dxfId="4" priority="2">
      <x:formula>$F20="遅延"</x:formula>
    </x:cfRule>
  </x:conditionalFormatting>
  <x:pageMargins left="0.7" right="0.7" top="0.75" bottom="0.75" header="0.3" footer="0.3"/>
  <x:tableParts count="3">
    <x:tablePart xmlns:r="http://schemas.openxmlformats.org/officeDocument/2006/relationships" r:id="R2d6bb551e82645e7"/>
    <x:tablePart xmlns:r="http://schemas.openxmlformats.org/officeDocument/2006/relationships" r:id="Rd45c60214fcc4b9a"/>
    <x:tablePart xmlns:r="http://schemas.openxmlformats.org/officeDocument/2006/relationships" r:id="Rc95d3dc4c2734cf5"/>
  </x:tableParts>
</x:worksheet>
</file>

<file path=xl/worksheets/sheet6.xml><?xml version="1.0" encoding="utf-8"?>
<x:worksheet xmlns:x="http://schemas.openxmlformats.org/spreadsheetml/2006/main">
  <x:sheetFormatPr defaultRowHeight="15"/>
  <x:cols>
    <x:col min="1" max="1" width="24" hidden="0" customWidth="1"/>
    <x:col min="2" max="2" width="50" hidden="0" customWidth="1"/>
    <x:col min="3" max="3" width="36" hidden="0" customWidth="1"/>
    <x:col min="4" max="4" width="50" hidden="0" customWidth="1"/>
    <x:col min="5" max="5" width="14" hidden="0" customWidth="1"/>
    <x:col min="6" max="6" width="14" hidden="0" customWidth="1"/>
    <x:col min="7" max="7" width="14" hidden="0" customWidth="1"/>
    <x:col min="8" max="8" width="14" hidden="0" customWidth="1"/>
  </x:cols>
  <x:sheetData>
    <x:row r="1" ht="30" customHeight="1">
      <x:c r="A1" s="5" t="str">
        <x:v>05_週次報告｜Copilotが作る部長向け報告ドラフト</x:v>
      </x:c>
      <x:c r="B1" s="5"/>
      <x:c r="C1" s="5"/>
      <x:c r="D1" s="5"/>
      <x:c r="E1" s="5"/>
      <x:c r="F1" s="5"/>
      <x:c r="G1" s="5"/>
      <x:c r="H1" s="5"/>
    </x:row>
    <x:row r="3" ht="45" customHeight="1">
      <x:c r="A3" s="112" t="str">
        <x:v>04_週次ヘルスチェックをもとに、部長・プロジェクトオーナー向けの週次報告ドラフトをCopilotに作成させるシートです。右列に人間の確認・修正メモを残せます。</x:v>
      </x:c>
      <x:c r="B3" s="112"/>
      <x:c r="C3" s="112"/>
      <x:c r="D3" s="112"/>
      <x:c r="E3" s="112"/>
      <x:c r="F3" s="112"/>
      <x:c r="G3" s="112"/>
      <x:c r="H3" s="112"/>
    </x:row>
    <x:row r="5">
      <x:c r="A5" s="33" t="str">
        <x:v>報告ヘッダー</x:v>
      </x:c>
      <x:c r="B5" s="33" t="str"/>
      <x:c r="C5" s="33" t="str"/>
      <x:c r="D5" s="33" t="str"/>
      <x:c r="E5" s="33" t="str"/>
      <x:c r="F5" s="33" t="str"/>
      <x:c r="G5" s="33" t="str"/>
      <x:c r="H5" s="33" t="str"/>
    </x:row>
    <x:row r="6">
      <x:c r="A6" s="21" t="str">
        <x:v>報告日</x:v>
      </x:c>
      <x:c r="B6" s="110" t="n">
        <x:f>TODAY()</x:f>
        <x:v>46195</x:v>
      </x:c>
    </x:row>
    <x:row r="7">
      <x:c r="A7" s="21" t="str">
        <x:v>報告先</x:v>
      </x:c>
      <x:c r="B7" s="106" t="str"/>
    </x:row>
    <x:row r="8">
      <x:c r="A8" s="21" t="str">
        <x:v>プロジェクト名</x:v>
      </x:c>
      <x:c r="B8" s="106" t="str"/>
    </x:row>
    <x:row r="9">
      <x:c r="A9" s="21" t="str">
        <x:v>全体ステータス</x:v>
      </x:c>
      <x:c r="B9" s="106" t="str">
        <x:f>'04_週次ヘルスチェック'!B7</x:f>
        <x:v>緑</x:v>
      </x:c>
    </x:row>
    <x:row r="10">
      <x:c r="A10" s="21" t="str">
        <x:v>作成者</x:v>
      </x:c>
      <x:c r="B10" s="106" t="str"/>
    </x:row>
    <x:row r="12">
      <x:c r="A12" s="33" t="str">
        <x:v>報告本文</x:v>
      </x:c>
      <x:c r="B12" s="33" t="str"/>
      <x:c r="C12" s="33" t="str"/>
      <x:c r="D12" s="33" t="str"/>
      <x:c r="E12" s="33" t="str"/>
      <x:c r="F12" s="33" t="str"/>
      <x:c r="G12" s="33" t="str"/>
      <x:c r="H12" s="33" t="str"/>
    </x:row>
    <x:row r="13">
      <x:c r="A13" s="21" t="str">
        <x:v>項目</x:v>
      </x:c>
      <x:c r="B13" s="21" t="str">
        <x:v>Copilot作成欄</x:v>
      </x:c>
      <x:c r="C13" s="21" t="str">
        <x:v>PMO確認 / 修正メモ</x:v>
      </x:c>
      <x:c r="D13" s="21" t="str">
        <x:v>最終版</x:v>
      </x:c>
    </x:row>
    <x:row r="14">
      <x:c r="A14" s="27" t="str">
        <x:v>1. 全体状況</x:v>
      </x:c>
      <x:c r="B14" s="106" t="str"/>
      <x:c r="C14" s="106" t="str"/>
      <x:c r="D14" s="106" t="str"/>
    </x:row>
    <x:row r="15">
      <x:c r="A15" s="27" t="str">
        <x:v>2. 今週の進捗</x:v>
      </x:c>
      <x:c r="B15" s="106" t="str"/>
      <x:c r="C15" s="106" t="str"/>
      <x:c r="D15" s="106" t="str"/>
    </x:row>
    <x:row r="16">
      <x:c r="A16" s="27" t="str">
        <x:v>3. 主な遅延</x:v>
      </x:c>
      <x:c r="B16" s="106" t="str"/>
      <x:c r="C16" s="106" t="str"/>
      <x:c r="D16" s="106" t="str"/>
    </x:row>
    <x:row r="17">
      <x:c r="A17" s="27" t="str">
        <x:v>4. 主なリスク</x:v>
      </x:c>
      <x:c r="B17" s="106" t="str"/>
      <x:c r="C17" s="106" t="str"/>
      <x:c r="D17" s="106" t="str"/>
    </x:row>
    <x:row r="18">
      <x:c r="A18" s="27" t="str">
        <x:v>5. エスカレーション事項</x:v>
      </x:c>
      <x:c r="B18" s="106" t="str"/>
      <x:c r="C18" s="106" t="str"/>
      <x:c r="D18" s="106" t="str"/>
    </x:row>
    <x:row r="19">
      <x:c r="A19" s="27" t="str">
        <x:v>6. 来週の重点アクション</x:v>
      </x:c>
      <x:c r="B19" s="106" t="str"/>
      <x:c r="C19" s="106" t="str"/>
      <x:c r="D19" s="106" t="str"/>
    </x:row>
    <x:row r="20">
      <x:c r="A20" s="27" t="str">
        <x:v>7. 判断・支援が必要な事項</x:v>
      </x:c>
      <x:c r="B20" s="106" t="str"/>
      <x:c r="C20" s="106" t="str"/>
      <x:c r="D20" s="106" t="str"/>
    </x:row>
    <x:row r="21">
      <x:c r="A21" s="27" t="str">
        <x:v>8. 補足</x:v>
      </x:c>
      <x:c r="B21" s="106" t="str"/>
      <x:c r="C21" s="106" t="str"/>
      <x:c r="D21" s="106" t="str"/>
    </x:row>
    <x:row r="23">
      <x:c r="A23" s="33" t="str">
        <x:v>送付前チェック</x:v>
      </x:c>
      <x:c r="B23" s="33" t="str"/>
      <x:c r="C23" s="33" t="str"/>
      <x:c r="D23" s="33" t="str"/>
      <x:c r="E23" s="33" t="str"/>
      <x:c r="F23" s="33" t="str"/>
      <x:c r="G23" s="33" t="str"/>
      <x:c r="H23" s="33" t="str"/>
    </x:row>
    <x:row r="24">
      <x:c r="A24" s="21" t="str">
        <x:v>確認観点</x:v>
      </x:c>
      <x:c r="B24" s="21" t="str">
        <x:v>確認結果</x:v>
      </x:c>
      <x:c r="C24" s="21" t="str">
        <x:v>メモ</x:v>
      </x:c>
    </x:row>
    <x:row r="25">
      <x:c r="A25" s="27" t="str">
        <x:v>根拠のない断定がないか</x:v>
      </x:c>
      <x:c r="B25" s="27" t="str"/>
      <x:c r="C25" s="27" t="str"/>
    </x:row>
    <x:row r="26">
      <x:c r="A26" s="27" t="str">
        <x:v>エスカレーション事項が明確か</x:v>
      </x:c>
      <x:c r="B26" s="27" t="str"/>
      <x:c r="C26" s="27" t="str"/>
    </x:row>
    <x:row r="27">
      <x:c r="A27" s="27" t="str">
        <x:v>判断依頼の期限・相手が明確か</x:v>
      </x:c>
      <x:c r="B27" s="27" t="str"/>
      <x:c r="C27" s="27" t="str"/>
    </x:row>
    <x:row r="28">
      <x:c r="A28" s="27" t="str">
        <x:v>責任範囲が曖昧な表現になっていないか</x:v>
      </x:c>
      <x:c r="B28" s="27" t="str"/>
      <x:c r="C28" s="27" t="str"/>
    </x:row>
  </x:sheetData>
  <x:mergeCells>
    <x:mergeCell ref="A1:H1"/>
    <x:mergeCell ref="A5:H5"/>
    <x:mergeCell ref="A12:H12"/>
    <x:mergeCell ref="A23:H23"/>
    <x:mergeCell ref="A3:H3"/>
  </x:mergeCells>
  <x:dataValidations count="1">
    <x:dataValidation type="list" sqref="B25:B28">
      <x:formula1>"OK,要修正,未確認"</x:formula1>
    </x:dataValidation>
  </x:dataValidations>
  <x:pageMargins left="0.7" right="0.7" top="0.75" bottom="0.75" header="0.3" footer="0.3"/>
  <x:tableParts count="2">
    <x:tablePart xmlns:r="http://schemas.openxmlformats.org/officeDocument/2006/relationships" r:id="Rf64200db166d4fb9"/>
    <x:tablePart xmlns:r="http://schemas.openxmlformats.org/officeDocument/2006/relationships" r:id="R56ec170726fb414f"/>
  </x:tableParts>
</x:worksheet>
</file>

<file path=xl/worksheets/sheet7.xml><?xml version="1.0" encoding="utf-8"?>
<x:worksheet xmlns:x="http://schemas.openxmlformats.org/spreadsheetml/2006/main">
  <x:sheetFormatPr defaultRowHeight="15"/>
  <x:cols>
    <x:col min="1" max="1" width="6" hidden="0" customWidth="1"/>
    <x:col min="2" max="2" width="16" hidden="0" customWidth="1"/>
    <x:col min="3" max="3" width="26" hidden="0" customWidth="1"/>
    <x:col min="4" max="4" width="72" hidden="0" customWidth="1"/>
    <x:col min="5" max="5" width="34" hidden="0" customWidth="1"/>
    <x:col min="6" max="6" width="28" hidden="0" customWidth="1"/>
  </x:cols>
  <x:sheetData>
    <x:row r="1" ht="30" customHeight="1">
      <x:c r="A1" s="5" t="str">
        <x:v>06_Copilotプロンプト例｜研修中にそのままコピーして使う</x:v>
      </x:c>
      <x:c r="B1" s="5"/>
      <x:c r="C1" s="5"/>
      <x:c r="D1" s="5"/>
      <x:c r="E1" s="5"/>
      <x:c r="F1" s="5"/>
    </x:row>
    <x:row r="3" ht="45" customHeight="1">
      <x:c r="A3" s="135" t="str">
        <x:v>各プロンプトは、Excel Copilotに貼り付けて使う想定です。基本はNo.1→No.9の順番で実行します。No.10/11/12は任意です。テスト用の仮定回答は 07_仮定回答サンプル を参照してください。</x:v>
      </x:c>
      <x:c r="B3" s="135"/>
      <x:c r="C3" s="135"/>
      <x:c r="D3" s="135"/>
      <x:c r="E3" s="135"/>
      <x:c r="F3" s="135"/>
    </x:row>
    <x:row r="5">
      <x:c r="A5" s="21" t="str">
        <x:v>No</x:v>
      </x:c>
      <x:c r="B5" s="21" t="str">
        <x:v>タイミング</x:v>
      </x:c>
      <x:c r="C5" s="21" t="str">
        <x:v>目的</x:v>
      </x:c>
      <x:c r="D5" s="21" t="str">
        <x:v>コピー用プロンプト</x:v>
      </x:c>
      <x:c r="E5" s="21" t="str">
        <x:v>期待される出力</x:v>
      </x:c>
      <x:c r="F5" s="21" t="str">
        <x:v>対象シート</x:v>
      </x:c>
    </x:row>
    <x:row r="6" ht="105" customHeight="1">
      <x:c r="A6" s="27" t="n">
        <x:v>1</x:v>
      </x:c>
      <x:c r="B6" s="27" t="str">
        <x:v>最初</x:v>
      </x:c>
      <x:c r="C6" s="27" t="str">
        <x:v>基本情報を質問で埋める</x:v>
      </x:c>
      <x:c r="D6" s="27" t="str">
        <x:v>このブックはPMO週次管理用のテンプレートです。
あなたはPMO補助として、私に必要な質問をしながら、01_プロジェクト基本情報を埋めてください。
まず、必須項目を埋めるために1問ずつ質問してください。
回答を受け取ったら、該当セルに入力してください。
不足している情報があれば、推測で埋めずに追加で質問してください。</x:v>
      </x:c>
      <x:c r="E6" s="27" t="str">
        <x:v>Copilotが質問し、回答内容を01_プロジェクト基本情報へ入力する</x:v>
      </x:c>
      <x:c r="F6" s="27" t="str">
        <x:v>01_プロジェクト基本情報</x:v>
      </x:c>
    </x:row>
    <x:row r="7" ht="105" customHeight="1">
      <x:c r="A7" s="27" t="n">
        <x:v>2</x:v>
      </x:c>
      <x:c r="B7" s="27" t="str">
        <x:v>基本情報入力後</x:v>
      </x:c>
      <x:c r="C7" s="27" t="str">
        <x:v>不足情報を洗い出す</x:v>
      </x:c>
      <x:c r="D7" s="27" t="str">
        <x:v>01_プロジェクト基本情報を確認し、PMO週次管理に必要な情報で不足している項目を洗い出してください。
不足項目は、重要度順に並べて、私に確認すべき質問として提示してください。
入力できる情報は、該当セルに反映してください。</x:v>
      </x:c>
      <x:c r="E7" s="27" t="str">
        <x:v>不足項目と確認質問のリスト</x:v>
      </x:c>
      <x:c r="F7" s="27" t="str">
        <x:v>01_プロジェクト基本情報</x:v>
      </x:c>
    </x:row>
    <x:row r="8" ht="105" customHeight="1">
      <x:c r="A8" s="27" t="n">
        <x:v>3</x:v>
      </x:c>
      <x:c r="B8" s="27" t="str">
        <x:v>WBS作成</x:v>
      </x:c>
      <x:c r="C8" s="27" t="str">
        <x:v>会話情報から初期WBSを作る</x:v>
      </x:c>
      <x:c r="D8" s="27" t="str">
        <x:v>01_プロジェクト基本情報をもとに、02_WBSテンプレに初期WBSを作成してください。
工程は、立ち上げ、要件定義、設計、構築、テスト、リリース、定着化に分けてください。
各タスクには、WBS ID、プロジェクト/領域、工程、マイルストーン、タスク名、成果物、確認観点、担当、開始予定日、期限、進捗率、ステータス、重要度、課題メモ、最終更新日を入力してください。
不足情報がある場合は、作成前に私へ質問してください。</x:v>
      </x:c>
      <x:c r="E8" s="27" t="str">
        <x:v>02_WBSテンプレに初期タスク一覧が作成される</x:v>
      </x:c>
      <x:c r="F8" s="27" t="str">
        <x:v>02_WBSテンプレ</x:v>
      </x:c>
    </x:row>
    <x:row r="9" ht="105" customHeight="1">
      <x:c r="A9" s="27" t="n">
        <x:v>4</x:v>
      </x:c>
      <x:c r="B9" s="27" t="str">
        <x:v>WBS作成後</x:v>
      </x:c>
      <x:c r="C9" s="27" t="str">
        <x:v>WBSの粒度をPMO目線で整える</x:v>
      </x:c>
      <x:c r="D9" s="27" t="str">
        <x:v>02_WBSテンプレをPMO目線でレビューしてください。
タスク粒度が大きすぎるもの、成果物が曖昧なもの、担当や期限が不足しているものを洗い出し、修正案を提示してください。
私の確認後、必要な修正を02_WBSテンプレに反映してください。</x:v>
      </x:c>
      <x:c r="E9" s="27" t="str">
        <x:v>タスク粒度・成果物・担当・期限の改善案</x:v>
      </x:c>
      <x:c r="F9" s="27" t="str">
        <x:v>02_WBSテンプレ</x:v>
      </x:c>
    </x:row>
    <x:row r="10" ht="105" customHeight="1">
      <x:c r="A10" s="27" t="n">
        <x:v>5</x:v>
      </x:c>
      <x:c r="B10" s="27" t="str">
        <x:v>判定</x:v>
      </x:c>
      <x:c r="C10" s="27" t="str">
        <x:v>遅延・リスク・エスカレーションを判定する</x:v>
      </x:c>
      <x:c r="D10" s="27" t="str">
        <x:v>02_WBSテンプレの内容と、03_判定基準をもとに、遅延判定、リスクレベル、リスク理由、エスカレーション要否、PMOコメント、次アクションを埋めてください。
判断に迷う箇所は、推測で埋めずに私に質問してください。
特に、高リスク・遅延・エスカレーション要のタスクは、理由と次アクションを具体的にしてください。</x:v>
      </x:c>
      <x:c r="E10" s="27" t="str">
        <x:v>判定列・PMOコメント・次アクションが埋まる</x:v>
      </x:c>
      <x:c r="F10" s="27" t="str">
        <x:v>02_WBSテンプレ / 03_判定基準</x:v>
      </x:c>
    </x:row>
    <x:row r="11" ht="105" customHeight="1">
      <x:c r="A11" s="27" t="n">
        <x:v>6</x:v>
      </x:c>
      <x:c r="B11" s="27" t="str">
        <x:v>見える化</x:v>
      </x:c>
      <x:c r="C11" s="27" t="str">
        <x:v>条件付き書式で見やすくする</x:v>
      </x:c>
      <x:c r="D11" s="27" t="str">
        <x:v>02_WBSテンプレで、リスクレベル、遅延判定、エスカレーション要否が一目で分かるように条件付き書式を整えてください。
高リスク、期限超過、エスカレーション要の行は特に目立つようにしてください。
進捗率は視覚的に分かるようにしてください。</x:v>
      </x:c>
      <x:c r="E11" s="27" t="str">
        <x:v>高リスク・遅延・進捗率が視覚的に分かる表</x:v>
      </x:c>
      <x:c r="F11" s="27" t="str">
        <x:v>02_WBSテンプレ</x:v>
      </x:c>
    </x:row>
    <x:row r="12" ht="105" customHeight="1">
      <x:c r="A12" s="27" t="n">
        <x:v>7</x:v>
      </x:c>
      <x:c r="B12" s="27" t="str">
        <x:v>週次化</x:v>
      </x:c>
      <x:c r="C12" s="27" t="str">
        <x:v>週次ヘルスチェックを埋める</x:v>
      </x:c>
      <x:c r="D12" s="27" t="str">
        <x:v>02_WBSテンプレと03_判定基準をもとに、04_週次ヘルスチェックを埋めてください。
含める内容は、全体状況、工程別の詰まり、担当者別の負荷、期限・マイルストーン、関係者調整、要注意タスク一覧、今週の重点確認事項です。
PMOが週次定例で確認すべき論点が分かるように整理してください。</x:v>
      </x:c>
      <x:c r="E12" s="27" t="str">
        <x:v>KPI、要注意タスク、確認事項が整理される</x:v>
      </x:c>
      <x:c r="F12" s="27" t="str">
        <x:v>04_週次ヘルスチェック</x:v>
      </x:c>
    </x:row>
    <x:row r="13" ht="105" customHeight="1">
      <x:c r="A13" s="27" t="n">
        <x:v>8</x:v>
      </x:c>
      <x:c r="B13" s="27" t="str">
        <x:v>報告化</x:v>
      </x:c>
      <x:c r="C13" s="27" t="str">
        <x:v>部長向け週次報告を作る</x:v>
      </x:c>
      <x:c r="D13" s="27" t="str">
        <x:v>04_週次ヘルスチェックをもとに、05_週次報告に部長向けの週次報告ドラフトを作成してください。
文体は簡潔にしてください。
構成は、1. 全体状況、2. 今週の進捗、3. 主な遅延、4. 主なリスク、5. エスカレーション事項、6. 来週の重点アクション、7. 判断・支援が必要な事項、8. 補足 としてください。
根拠が薄い内容は断定せず、確認が必要な事項として書いてください。</x:v>
      </x:c>
      <x:c r="E13" s="27" t="str">
        <x:v>05_週次報告に報告ドラフトが作成される</x:v>
      </x:c>
      <x:c r="F13" s="27" t="str">
        <x:v>05_週次報告</x:v>
      </x:c>
    </x:row>
    <x:row r="14" ht="105" customHeight="1">
      <x:c r="A14" s="27" t="n">
        <x:v>9</x:v>
      </x:c>
      <x:c r="B14" s="27" t="str">
        <x:v>修正</x:v>
      </x:c>
      <x:c r="C14" s="27" t="str">
        <x:v>報告先別に表現を変える</x:v>
      </x:c>
      <x:c r="D14" s="27" t="str">
        <x:v>05_週次報告の内容を、部長向けにより簡潔で判断しやすい表現に修正してください。
現場向けの詳細説明ではなく、判断が必要な事項、支援が必要な事項、期限影響がある事項を優先してください。
曖昧な表現は、確認事項として残してください。</x:v>
      </x:c>
      <x:c r="E14" s="27" t="str">
        <x:v>上長向けに要点が絞られた報告文</x:v>
      </x:c>
      <x:c r="F14" s="27" t="str">
        <x:v>05_週次報告</x:v>
      </x:c>
    </x:row>
    <x:row r="15" ht="105" customHeight="1">
      <x:c r="A15" s="27" t="n">
        <x:v>10</x:v>
      </x:c>
      <x:c r="B15" s="27" t="str">
        <x:v>厳格化</x:v>
      </x:c>
      <x:c r="C15" s="27" t="str">
        <x:v>判定が甘い場合に基準を厳しくする</x:v>
      </x:c>
      <x:c r="D15" s="27" t="str">
        <x:v>リスク判定が甘いです。
期限超過、進捗率50%未満、課題メモに「遅延」「未完了」「待ち」「調整中」「不明」が含まれる場合は、リスクレベルを高めに判定してください。
変更後の判定理由も02_WBSテンプレに反映してください。</x:v>
      </x:c>
      <x:c r="E15" s="27" t="str">
        <x:v>より厳しいリスク判定に更新される</x:v>
      </x:c>
      <x:c r="F15" s="27" t="str">
        <x:v>02_WBSテンプレ</x:v>
      </x:c>
    </x:row>
    <x:row r="16" ht="105" customHeight="1">
      <x:c r="A16" s="27" t="n">
        <x:v>11</x:v>
      </x:c>
      <x:c r="B16" s="27" t="str">
        <x:v>確認</x:v>
      </x:c>
      <x:c r="C16" s="27" t="str">
        <x:v>PMOが聞くべき質問を作る</x:v>
      </x:c>
      <x:c r="D16" s="27" t="str">
        <x:v>現在の02_WBSテンプレと04_週次ヘルスチェックをもとに、次回の週次定例でPMOが確認すべき質問を作成してください。
質問は、誰に、何を、いつまでに確認するかが分かる形にしてください。
04_週次ヘルスチェックの「今週の重点確認事項」に反映してください。</x:v>
      </x:c>
      <x:c r="E16" s="27" t="str">
        <x:v>確認質問と確認先が作成される</x:v>
      </x:c>
      <x:c r="F16" s="27" t="str">
        <x:v>04_週次ヘルスチェック</x:v>
      </x:c>
    </x:row>
    <x:row r="17" ht="105" customHeight="1">
      <x:c r="A17" s="27" t="n">
        <x:v>12</x:v>
      </x:c>
      <x:c r="B17" s="27" t="str">
        <x:v>研修用</x:v>
      </x:c>
      <x:c r="C17" s="27" t="str">
        <x:v>入力済み内容をリセットする</x:v>
      </x:c>
      <x:c r="D17" s="27" t="str">
        <x:v>研修用に、01_プロジェクト基本情報、02_WBSテンプレ、04_週次ヘルスチェック、05_週次報告の入力欄をリセットしてください。
ただし、見出し、判定基準、数式、条件付き書式、プロンプト例は消さないでください。
実行前に、消してよい範囲を確認してください。</x:v>
      </x:c>
      <x:c r="E17" s="27" t="str">
        <x:v>デモをやり直すためのリセット補助</x:v>
      </x:c>
      <x:c r="F17" s="27" t="str">
        <x:v>全体</x:v>
      </x:c>
    </x:row>
  </x:sheetData>
  <x:mergeCells>
    <x:mergeCell ref="A1:F1"/>
    <x:mergeCell ref="A3:F3"/>
  </x:mergeCells>
  <x:pageMargins left="0.7" right="0.7" top="0.75" bottom="0.75" header="0.3" footer="0.3"/>
  <x:tableParts count="1">
    <x:tablePart xmlns:r="http://schemas.openxmlformats.org/officeDocument/2006/relationships" r:id="R42789a15c5744c42"/>
  </x:tableParts>
</x:worksheet>
</file>

<file path=xl/worksheets/sheet8.xml><?xml version="1.0" encoding="utf-8"?>
<x:worksheet xmlns:x="http://schemas.openxmlformats.org/spreadsheetml/2006/main">
  <x:sheetFormatPr defaultRowHeight="15"/>
  <x:cols>
    <x:col min="1" max="1" width="8" hidden="0" customWidth="1"/>
    <x:col min="2" max="2" width="34" hidden="0" customWidth="1"/>
    <x:col min="3" max="3" width="58" hidden="0" customWidth="1"/>
    <x:col min="4" max="4" width="26" hidden="0" customWidth="1"/>
    <x:col min="5" max="5" width="28" hidden="0" customWidth="1"/>
    <x:col min="6" max="6" width="16" hidden="0" customWidth="1"/>
    <x:col min="7" max="7" width="16" hidden="0" customWidth="1"/>
    <x:col min="8" max="8" width="16" hidden="0" customWidth="1"/>
  </x:cols>
  <x:sheetData>
    <x:row r="1" ht="28" customHeight="1">
      <x:c r="A1" s="118" t="str">
        <x:v>07_仮定回答サンプル｜Copilotとの会話テスト用</x:v>
      </x:c>
      <x:c r="B1" s="118"/>
      <x:c r="C1" s="118"/>
      <x:c r="D1" s="118"/>
      <x:c r="E1" s="118"/>
      <x:c r="F1" s="118"/>
      <x:c r="G1" s="118"/>
      <x:c r="H1" s="118"/>
    </x:row>
    <x:row r="3" ht="36" customHeight="1">
      <x:c r="A3" s="122" t="str">
        <x:v>06_Copilotプロンプト例は、基本的にNo.1→No.9の順番で実行します。No.10は判定が甘いとき、No.11は定例前の確認質問を作りたいとき、No.12はデモをやり直すときに使います。</x:v>
      </x:c>
      <x:c r="B3" s="122"/>
      <x:c r="C3" s="122"/>
      <x:c r="D3" s="122"/>
      <x:c r="E3" s="122"/>
      <x:c r="F3" s="122"/>
      <x:c r="G3" s="122"/>
      <x:c r="H3" s="122"/>
    </x:row>
    <x:row r="4" ht="36" customHeight="1">
      <x:c r="A4" s="122" t="str">
        <x:v>このシートは、Copilotに質問されたときにそのまま答えられる仮定回答集です。テンプレ本体は空欄のままにして、会話で埋めるテストに使ってください。</x:v>
      </x:c>
      <x:c r="B4" s="122"/>
      <x:c r="C4" s="122"/>
      <x:c r="D4" s="122"/>
      <x:c r="E4" s="122"/>
      <x:c r="F4" s="122"/>
      <x:c r="G4" s="122"/>
      <x:c r="H4" s="122"/>
    </x:row>
    <x:row r="6">
      <x:c r="A6" s="127" t="str">
        <x:v>順番</x:v>
      </x:c>
      <x:c r="B6" s="127" t="str">
        <x:v>使うプロンプト</x:v>
      </x:c>
      <x:c r="C6" s="127" t="str">
        <x:v>目的</x:v>
      </x:c>
      <x:c r="D6" s="127" t="str">
        <x:v>補足</x:v>
      </x:c>
    </x:row>
    <x:row r="7" ht="42" customHeight="1">
      <x:c r="A7" s="133" t="n">
        <x:v>1</x:v>
      </x:c>
      <x:c r="B7" s="27" t="str">
        <x:v>No.1 基本情報を質問で埋める</x:v>
      </x:c>
      <x:c r="C7" s="27" t="str">
        <x:v>Copilotに質問させながら01を埋める</x:v>
      </x:c>
      <x:c r="D7" s="27" t="str">
        <x:v>まずはこのシートの仮定回答を見ながら答える</x:v>
      </x:c>
    </x:row>
    <x:row r="8" ht="42" customHeight="1">
      <x:c r="A8" s="133" t="n">
        <x:v>2</x:v>
      </x:c>
      <x:c r="B8" s="27" t="str">
        <x:v>No.2 不足情報を洗い出す</x:v>
      </x:c>
      <x:c r="C8" s="27" t="str">
        <x:v>足りない情報を確認する</x:v>
      </x:c>
      <x:c r="D8" s="27" t="str">
        <x:v>不足が出たら追加で回答</x:v>
      </x:c>
    </x:row>
    <x:row r="9" ht="42" customHeight="1">
      <x:c r="A9" s="133" t="n">
        <x:v>3</x:v>
      </x:c>
      <x:c r="B9" s="27" t="str">
        <x:v>No.3 会話情報から初期WBSを作る</x:v>
      </x:c>
      <x:c r="C9" s="27" t="str">
        <x:v>02_WBSテンプレを作成</x:v>
      </x:c>
      <x:c r="D9" s="27" t="str">
        <x:v>作成前に質問されたら下のWBS補足を回答</x:v>
      </x:c>
    </x:row>
    <x:row r="10" ht="42" customHeight="1">
      <x:c r="A10" s="133" t="n">
        <x:v>4</x:v>
      </x:c>
      <x:c r="B10" s="27" t="str">
        <x:v>No.4 WBSの粒度を整える</x:v>
      </x:c>
      <x:c r="C10" s="27" t="str">
        <x:v>WBSの粗さを直す</x:v>
      </x:c>
      <x:c r="D10" s="27" t="str">
        <x:v>任意。PMOらしい粒度に調整</x:v>
      </x:c>
    </x:row>
    <x:row r="11" ht="42" customHeight="1">
      <x:c r="A11" s="133" t="n">
        <x:v>5</x:v>
      </x:c>
      <x:c r="B11" s="27" t="str">
        <x:v>No.5 遅延・リスク判定</x:v>
      </x:c>
      <x:c r="C11" s="27" t="str">
        <x:v>判定列を埋める</x:v>
      </x:c>
      <x:c r="D11" s="27" t="str">
        <x:v>03_判定基準を参照させる</x:v>
      </x:c>
    </x:row>
    <x:row r="12" ht="42" customHeight="1">
      <x:c r="A12" s="133" t="n">
        <x:v>6</x:v>
      </x:c>
      <x:c r="B12" s="27" t="str">
        <x:v>No.6 条件付き書式</x:v>
      </x:c>
      <x:c r="C12" s="27" t="str">
        <x:v>見やすくする</x:v>
      </x:c>
      <x:c r="D12" s="27" t="str">
        <x:v>任意。デモ映え用</x:v>
      </x:c>
    </x:row>
    <x:row r="13" ht="42" customHeight="1">
      <x:c r="A13" s="133" t="n">
        <x:v>7</x:v>
      </x:c>
      <x:c r="B13" s="27" t="str">
        <x:v>No.7 週次ヘルスチェック</x:v>
      </x:c>
      <x:c r="C13" s="27" t="str">
        <x:v>04を埋める</x:v>
      </x:c>
      <x:c r="D13" s="27" t="str">
        <x:v>週次定例で使う形にする</x:v>
      </x:c>
    </x:row>
    <x:row r="14" ht="42" customHeight="1">
      <x:c r="A14" s="133" t="n">
        <x:v>8</x:v>
      </x:c>
      <x:c r="B14" s="27" t="str">
        <x:v>No.8 部長向け週次報告</x:v>
      </x:c>
      <x:c r="C14" s="27" t="str">
        <x:v>05を埋める</x:v>
      </x:c>
      <x:c r="D14" s="27" t="str">
        <x:v>報告文のたたき台を作る</x:v>
      </x:c>
    </x:row>
    <x:row r="15" ht="42" customHeight="1">
      <x:c r="A15" s="133" t="n">
        <x:v>9</x:v>
      </x:c>
      <x:c r="B15" s="27" t="str">
        <x:v>No.9 表現調整</x:v>
      </x:c>
      <x:c r="C15" s="27" t="str">
        <x:v>報告先向けに整える</x:v>
      </x:c>
      <x:c r="D15" s="27" t="str">
        <x:v>任意。部長向けに短くする</x:v>
      </x:c>
    </x:row>
    <x:row r="18">
      <x:c r="A18" s="127" t="str">
        <x:v>No</x:v>
      </x:c>
      <x:c r="B18" s="127" t="str">
        <x:v>Copilotから聞かれそうな質問</x:v>
      </x:c>
      <x:c r="C18" s="127" t="str">
        <x:v>仮定回答</x:v>
      </x:c>
      <x:c r="D18" s="127" t="str">
        <x:v>入力・反映先</x:v>
      </x:c>
      <x:c r="E18" s="127" t="str">
        <x:v>補足</x:v>
      </x:c>
    </x:row>
    <x:row r="19" ht="54" customHeight="1">
      <x:c r="A19" s="133" t="n">
        <x:v>1</x:v>
      </x:c>
      <x:c r="B19" s="27" t="str">
        <x:v>プロジェクト名を教えてください。</x:v>
      </x:c>
      <x:c r="C19" s="27" t="str">
        <x:v>顧客管理刷新プロジェクト</x:v>
      </x:c>
      <x:c r="D19" s="27" t="str">
        <x:v>01_プロジェクト基本情報</x:v>
      </x:c>
      <x:c r="E19" s="27" t="str">
        <x:v>案件名。略称は顧客刷新PJ。</x:v>
      </x:c>
    </x:row>
    <x:row r="20" ht="54" customHeight="1">
      <x:c r="A20" s="133" t="n">
        <x:v>2</x:v>
      </x:c>
      <x:c r="B20" s="27" t="str">
        <x:v>このプロジェクトの目的は何ですか。</x:v>
      </x:c>
      <x:c r="C20" s="27" t="str">
        <x:v>顧客情報を部署ごとに分散管理している状態を解消し、営業・CSが同じ情報を見ながら対応できる状態にすることです。</x:v>
      </x:c>
      <x:c r="D20" s="27" t="str">
        <x:v>01_プロジェクト基本情報</x:v>
      </x:c>
      <x:c r="E20" s="27" t="str">
        <x:v>目的は業務価値まで含める。</x:v>
      </x:c>
    </x:row>
    <x:row r="21" ht="54" customHeight="1">
      <x:c r="A21" s="133" t="n">
        <x:v>3</x:v>
      </x:c>
      <x:c r="B21" s="27" t="str">
        <x:v>背景や現在の課題を教えてください。</x:v>
      </x:c>
      <x:c r="C21" s="27" t="str">
        <x:v>営業、CS、情報システム部で顧客情報の持ち方が違い、最新情報確認や引き継ぎに時間がかかっています。問い合わせ対応の重複も起きています。</x:v>
      </x:c>
      <x:c r="D21" s="27" t="str">
        <x:v>01_プロジェクト基本情報</x:v>
      </x:c>
      <x:c r="E21" s="27" t="str">
        <x:v>報告文の文脈になる。</x:v>
      </x:c>
    </x:row>
    <x:row r="22" ht="54" customHeight="1">
      <x:c r="A22" s="133" t="n">
        <x:v>4</x:v>
      </x:c>
      <x:c r="B22" s="27" t="str">
        <x:v>スコープを教えてください。</x:v>
      </x:c>
      <x:c r="C22" s="27" t="str">
        <x:v>営業・CS部門の顧客情報管理、検索画面、閲覧権限、顧客更新フローを対象にします。</x:v>
      </x:c>
      <x:c r="D22" s="27" t="str">
        <x:v>01_プロジェクト基本情報</x:v>
      </x:c>
      <x:c r="E22" s="27" t="str">
        <x:v>対象業務と対象部門。</x:v>
      </x:c>
    </x:row>
    <x:row r="23" ht="54" customHeight="1">
      <x:c r="A23" s="133" t="n">
        <x:v>5</x:v>
      </x:c>
      <x:c r="B23" s="27" t="str">
        <x:v>スコープ外はありますか。</x:v>
      </x:c>
      <x:c r="C23" s="27" t="str">
        <x:v>基幹CRMの全面刷新、外部顧客向けポータル、請求システム連携は今回のスコープ外です。</x:v>
      </x:c>
      <x:c r="D23" s="27" t="str">
        <x:v>01_プロジェクト基本情報</x:v>
      </x:c>
      <x:c r="E23" s="27" t="str">
        <x:v>期待値調整。</x:v>
      </x:c>
    </x:row>
    <x:row r="24" ht="54" customHeight="1">
      <x:c r="A24" s="133" t="n">
        <x:v>6</x:v>
      </x:c>
      <x:c r="B24" s="27" t="str">
        <x:v>開始日と最終期限を教えてください。</x:v>
      </x:c>
      <x:c r="C24" s="27" t="str">
        <x:v>開始日は2026/06/01、最終期限は2026/08/31です。</x:v>
      </x:c>
      <x:c r="D24" s="27" t="str">
        <x:v>01_プロジェクト基本情報</x:v>
      </x:c>
      <x:c r="E24" s="27" t="str">
        <x:v>日付は環境に合わせて変更可。</x:v>
      </x:c>
    </x:row>
    <x:row r="25" ht="54" customHeight="1">
      <x:c r="A25" s="133" t="n">
        <x:v>7</x:v>
      </x:c>
      <x:c r="B25" s="27" t="str">
        <x:v>現在フェーズを教えてください。</x:v>
      </x:c>
      <x:c r="C25" s="27" t="str">
        <x:v>現在は要件定義フェーズです。</x:v>
      </x:c>
      <x:c r="D25" s="27" t="str">
        <x:v>01_プロジェクト基本情報</x:v>
      </x:c>
      <x:c r="E25" s="27" t="str">
        <x:v>フェーズ分類に使う。</x:v>
      </x:c>
    </x:row>
    <x:row r="26" ht="54" customHeight="1">
      <x:c r="A26" s="133" t="n">
        <x:v>8</x:v>
      </x:c>
      <x:c r="B26" s="27" t="str">
        <x:v>次のマイルストーンと日付を教えてください。</x:v>
      </x:c>
      <x:c r="C26" s="27" t="str">
        <x:v>次のマイルストーンは要件一覧レビューで、予定日は2026/06/26です。</x:v>
      </x:c>
      <x:c r="D26" s="27" t="str">
        <x:v>01_プロジェクト基本情報</x:v>
      </x:c>
      <x:c r="E26" s="27" t="str">
        <x:v>週次ヘルスチェックの基準。</x:v>
      </x:c>
    </x:row>
    <x:row r="27" ht="54" customHeight="1">
      <x:c r="A27" s="133" t="n">
        <x:v>9</x:v>
      </x:c>
      <x:c r="B27" s="27" t="str">
        <x:v>PM、PMO、主要関係者を教えてください。</x:v>
      </x:c>
      <x:c r="C27" s="27" t="str">
        <x:v>PMは佐藤さん、PMOは私です。主要関係者は営業部、CS部、情報システム部、外部ベンダーです。</x:v>
      </x:c>
      <x:c r="D27" s="27" t="str">
        <x:v>01_プロジェクト基本情報</x:v>
      </x:c>
      <x:c r="E27" s="27" t="str">
        <x:v>関係者・確認先に使う。</x:v>
      </x:c>
    </x:row>
    <x:row r="28" ht="54" customHeight="1">
      <x:c r="A28" s="133" t="n">
        <x:v>10</x:v>
      </x:c>
      <x:c r="B28" s="27" t="str">
        <x:v>報告先を教えてください。</x:v>
      </x:c>
      <x:c r="C28" s="27" t="str">
        <x:v>報告先は部長とプロジェクトオーナーです。</x:v>
      </x:c>
      <x:c r="D28" s="27" t="str">
        <x:v>01_プロジェクト基本情報</x:v>
      </x:c>
      <x:c r="E28" s="27" t="str">
        <x:v>05_週次報告の宛先粒度。</x:v>
      </x:c>
    </x:row>
    <x:row r="29" ht="54" customHeight="1">
      <x:c r="A29" s="133" t="n">
        <x:v>11</x:v>
      </x:c>
      <x:c r="B29" s="27" t="str">
        <x:v>今週の状況を教えてください。</x:v>
      </x:c>
      <x:c r="C29" s="27" t="str">
        <x:v>営業部ヒアリングは完了しました。CS部ヒアリングは日程調整が遅れていて、要件一覧作成にも影響が出始めています。</x:v>
      </x:c>
      <x:c r="D29" s="27" t="str">
        <x:v>01_プロジェクト基本情報</x:v>
      </x:c>
      <x:c r="E29" s="27" t="str">
        <x:v>WBS・リスク判定の材料。</x:v>
      </x:c>
    </x:row>
    <x:row r="30" ht="54" customHeight="1">
      <x:c r="A30" s="133" t="n">
        <x:v>12</x:v>
      </x:c>
      <x:c r="B30" s="27" t="str">
        <x:v>今週の成果を教えてください。</x:v>
      </x:c>
      <x:c r="C30" s="27" t="str">
        <x:v>営業部の業務フロー、主要な顧客項目、検索時の困りごとは整理できました。</x:v>
      </x:c>
      <x:c r="D30" s="27" t="str">
        <x:v>01_プロジェクト基本情報</x:v>
      </x:c>
      <x:c r="E30" s="27" t="str">
        <x:v>報告のポジティブ材料。</x:v>
      </x:c>
    </x:row>
    <x:row r="31" ht="54" customHeight="1">
      <x:c r="A31" s="133" t="n">
        <x:v>13</x:v>
      </x:c>
      <x:c r="B31" s="27" t="str">
        <x:v>懸念点を教えてください。</x:v>
      </x:c>
      <x:c r="C31" s="27" t="str">
        <x:v>CS部の日程調整が未完了です。CS部の要件が取れないと、画面設計と権限設計に入れません。</x:v>
      </x:c>
      <x:c r="D31" s="27" t="str">
        <x:v>01_プロジェクト基本情報</x:v>
      </x:c>
      <x:c r="E31" s="27" t="str">
        <x:v>リスク理由に使う。</x:v>
      </x:c>
    </x:row>
    <x:row r="32" ht="54" customHeight="1">
      <x:c r="A32" s="133" t="n">
        <x:v>14</x:v>
      </x:c>
      <x:c r="B32" s="27" t="str">
        <x:v>判断や支援が必要な事項はありますか。</x:v>
      </x:c>
      <x:c r="C32" s="27" t="str">
        <x:v>CS部ヒアリングの日程調整を部長経由で依頼するか判断したいです。</x:v>
      </x:c>
      <x:c r="D32" s="27" t="str">
        <x:v>01_プロジェクト基本情報</x:v>
      </x:c>
      <x:c r="E32" s="27" t="str">
        <x:v>エスカレーション候補。</x:v>
      </x:c>
    </x:row>
    <x:row r="33" ht="54" customHeight="1">
      <x:c r="A33" s="133" t="n">
        <x:v>15</x:v>
      </x:c>
      <x:c r="B33" s="27" t="str">
        <x:v>依存関係を教えてください。</x:v>
      </x:c>
      <x:c r="C33" s="27" t="str">
        <x:v>CS部ヒアリング完了後に、要件一覧レビュー、画面設計、権限設計に進む関係です。</x:v>
      </x:c>
      <x:c r="D33" s="27" t="str">
        <x:v>01_プロジェクト基本情報 / 02_WBSテンプレ</x:v>
      </x:c>
      <x:c r="E33" s="27" t="str">
        <x:v>前工程待ちの判定材料。</x:v>
      </x:c>
    </x:row>
    <x:row r="34" ht="54" customHeight="1">
      <x:c r="A34" s="133" t="n">
        <x:v>16</x:v>
      </x:c>
      <x:c r="B34" s="27" t="str">
        <x:v>来週の予定を教えてください。</x:v>
      </x:c>
      <x:c r="C34" s="27" t="str">
        <x:v>CS部ヒアリング、要件一覧レビュー、画面設計ドラフト準備を予定しています。</x:v>
      </x:c>
      <x:c r="D34" s="27" t="str">
        <x:v>01_プロジェクト基本情報</x:v>
      </x:c>
      <x:c r="E34" s="27" t="str">
        <x:v>次アクション生成に使う。</x:v>
      </x:c>
    </x:row>
    <x:row r="35" ht="54" customHeight="1">
      <x:c r="A35" s="133" t="n">
        <x:v>17</x:v>
      </x:c>
      <x:c r="B35" s="27" t="str">
        <x:v>全体ステータスをどう見ていますか。</x:v>
      </x:c>
      <x:c r="C35" s="27" t="str">
        <x:v>現時点では黄です。営業部側は進んでいますが、CS部調整遅れにより要件定義完了が遅れる可能性があります。</x:v>
      </x:c>
      <x:c r="D35" s="27" t="str">
        <x:v>01_プロジェクト基本情報 / 04_週次ヘルスチェック</x:v>
      </x:c>
      <x:c r="E35" s="27" t="str">
        <x:v>赤黄緑の理由まで伝える。</x:v>
      </x:c>
    </x:row>
    <x:row r="36" ht="54" customHeight="1">
      <x:c r="A36" s="133" t="n">
        <x:v>18</x:v>
      </x:c>
      <x:c r="B36" s="27" t="str">
        <x:v>WBS作成前に、タスク粒度の希望はありますか。</x:v>
      </x:c>
      <x:c r="C36" s="27" t="str">
        <x:v>各工程で3〜5タスク程度に分け、成果物と確認観点が分かる粒度にしてください。</x:v>
      </x:c>
      <x:c r="D36" s="27" t="str">
        <x:v>02_WBSテンプレ</x:v>
      </x:c>
      <x:c r="E36" s="27" t="str">
        <x:v>WBS作成時の補足。</x:v>
      </x:c>
    </x:row>
    <x:row r="37" ht="54" customHeight="1">
      <x:c r="A37" s="133" t="n">
        <x:v>19</x:v>
      </x:c>
      <x:c r="B37" s="27" t="str">
        <x:v>担当候補や期限の置き方に希望はありますか。</x:v>
      </x:c>
      <x:c r="C37" s="27" t="str">
        <x:v>担当は佐藤、鈴木、田中、山本、外部ベンダーで仮置きしてください。期限は8/31リリースから逆算してください。</x:v>
      </x:c>
      <x:c r="D37" s="27" t="str">
        <x:v>02_WBSテンプレ</x:v>
      </x:c>
      <x:c r="E37" s="27" t="str">
        <x:v>デモ用の仮置き。</x:v>
      </x:c>
    </x:row>
    <x:row r="38" ht="54" customHeight="1">
      <x:c r="A38" s="133" t="n">
        <x:v>20</x:v>
      </x:c>
      <x:c r="B38" s="27" t="str">
        <x:v>既知の遅れや注意点はありますか。</x:v>
      </x:c>
      <x:c r="C38" s="27" t="str">
        <x:v>CS部ヒアリング、要件一覧作成、画面設計ドラフトは要注意です。外部ベンダーの環境準備も遅れる可能性があります。</x:v>
      </x:c>
      <x:c r="D38" s="27" t="str">
        <x:v>02_WBSテンプレ / 04_週次ヘルスチェック</x:v>
      </x:c>
      <x:c r="E38" s="27" t="str">
        <x:v>リスク入りWBSにするための燃料。</x:v>
      </x:c>
    </x:row>
    <x:row r="41">
      <x:c r="A41" s="132" t="str">
        <x:v>一括回答用サンプル｜Copilotにまとめて渡してもよい仮定回答</x:v>
      </x:c>
      <x:c r="B41" s="132"/>
      <x:c r="C41" s="132"/>
      <x:c r="D41" s="132"/>
      <x:c r="E41" s="132"/>
      <x:c r="F41" s="132"/>
      <x:c r="G41" s="132"/>
      <x:c r="H41" s="132"/>
    </x:row>
    <x:row r="42" ht="24" customHeight="1">
      <x:c r="A42" s="122" t="str">
        <x:v>以下を仮定回答として使ってください。
プロジェクト名: 顧客管理刷新プロジェクト（顧客刷新PJ）
目的: 顧客情報を部署ごとに分散管理している状態を解消し、営業・CSが同じ情報を見ながら対応できる状態にする。
背景 / 課題: 営業、CS、情報システム部で顧客情報の持ち方が違い、最新情報確認や引き継ぎに時間がかかっている。問い合わせ対応の重複も起きている。
スコープ: 営業・CS部門の顧客情報管理、検索画面、閲覧権限、顧客更新フロー。
スコープ外: 基幹CRMの全面刷新、外部顧客向けポータル、請求システム連携。
開始日: 2026/06/01
最終期限: 2026/08/31
現在フェーズ: 要件定義
次のマイルストーン: 要件一覧レビュー
マイルストーン日: 2026/06/26
PM: 佐藤
PMO: 自分
主要関係者: 営業部、CS部、情報システム部、外部ベンダー
報告先: 部長、プロジェクトオーナー
今週の状況: 営業部ヒアリングは完了。CS部ヒアリングは日程調整が遅れており、要件一覧作成にも影響が出始めている。
今週の成果: 営業部の業務フロー、主要な顧客項目、検索時の困りごとは整理済み。
懸念点: CS部の日程調整が未完了。CS部要件が取れないと、画面設計と権限設計に入れない。
判断が必要な事項: CS部ヒアリングの日程調整を部長経由で依頼するか判断したい。
依存関係: CS部ヒアリング完了後に、要件一覧レビュー、画面設計、権限設計へ進む。
来週の予定: CS部ヒアリング、要件一覧レビュー、画面設計ドラフト準備。
全体ステータス: 黄。営業部側は進んでいるが、CS部調整遅れにより要件定義完了が遅れる可能性がある。
WBS作成時の補足:
- 各工程で3〜5タスク程度に分ける。
- 成果物と確認観点が分かる粒度にする。
- 担当候補は佐藤、鈴木、田中、山本、外部ベンダーで仮置きする。
- 期限は2026/08/31リリースから逆算する。
- CS部ヒアリング、要件一覧作成、画面設計ドラフト、外部ベンダー環境準備は要注意タスクとして扱う。</x:v>
      </x:c>
      <x:c r="B42" s="122"/>
      <x:c r="C42" s="122"/>
      <x:c r="D42" s="122"/>
      <x:c r="E42" s="122"/>
      <x:c r="F42" s="122"/>
      <x:c r="G42" s="122"/>
      <x:c r="H42" s="122"/>
    </x:row>
    <x:row r="43" ht="24" customHeight="1">
      <x:c r="A43" s="122"/>
      <x:c r="B43" s="122"/>
      <x:c r="C43" s="122"/>
      <x:c r="D43" s="122"/>
      <x:c r="E43" s="122"/>
      <x:c r="F43" s="122"/>
      <x:c r="G43" s="122"/>
      <x:c r="H43" s="122"/>
    </x:row>
    <x:row r="44" ht="24" customHeight="1">
      <x:c r="A44" s="122"/>
      <x:c r="B44" s="122"/>
      <x:c r="C44" s="122"/>
      <x:c r="D44" s="122"/>
      <x:c r="E44" s="122"/>
      <x:c r="F44" s="122"/>
      <x:c r="G44" s="122"/>
      <x:c r="H44" s="122"/>
    </x:row>
    <x:row r="45" ht="24" customHeight="1">
      <x:c r="A45" s="122"/>
      <x:c r="B45" s="122"/>
      <x:c r="C45" s="122"/>
      <x:c r="D45" s="122"/>
      <x:c r="E45" s="122"/>
      <x:c r="F45" s="122"/>
      <x:c r="G45" s="122"/>
      <x:c r="H45" s="122"/>
    </x:row>
    <x:row r="46" ht="24" customHeight="1">
      <x:c r="A46" s="122"/>
      <x:c r="B46" s="122"/>
      <x:c r="C46" s="122"/>
      <x:c r="D46" s="122"/>
      <x:c r="E46" s="122"/>
      <x:c r="F46" s="122"/>
      <x:c r="G46" s="122"/>
      <x:c r="H46" s="122"/>
    </x:row>
    <x:row r="47" ht="24" customHeight="1">
      <x:c r="A47" s="122"/>
      <x:c r="B47" s="122"/>
      <x:c r="C47" s="122"/>
      <x:c r="D47" s="122"/>
      <x:c r="E47" s="122"/>
      <x:c r="F47" s="122"/>
      <x:c r="G47" s="122"/>
      <x:c r="H47" s="122"/>
    </x:row>
    <x:row r="48" ht="24" customHeight="1">
      <x:c r="A48" s="122"/>
      <x:c r="B48" s="122"/>
      <x:c r="C48" s="122"/>
      <x:c r="D48" s="122"/>
      <x:c r="E48" s="122"/>
      <x:c r="F48" s="122"/>
      <x:c r="G48" s="122"/>
      <x:c r="H48" s="122"/>
    </x:row>
    <x:row r="49" ht="24" customHeight="1">
      <x:c r="A49" s="122"/>
      <x:c r="B49" s="122"/>
      <x:c r="C49" s="122"/>
      <x:c r="D49" s="122"/>
      <x:c r="E49" s="122"/>
      <x:c r="F49" s="122"/>
      <x:c r="G49" s="122"/>
      <x:c r="H49" s="122"/>
    </x:row>
    <x:row r="50" ht="24" customHeight="1">
      <x:c r="A50" s="122"/>
      <x:c r="B50" s="122"/>
      <x:c r="C50" s="122"/>
      <x:c r="D50" s="122"/>
      <x:c r="E50" s="122"/>
      <x:c r="F50" s="122"/>
      <x:c r="G50" s="122"/>
      <x:c r="H50" s="122"/>
    </x:row>
    <x:row r="51" ht="24" customHeight="1">
      <x:c r="A51" s="122"/>
      <x:c r="B51" s="122"/>
      <x:c r="C51" s="122"/>
      <x:c r="D51" s="122"/>
      <x:c r="E51" s="122"/>
      <x:c r="F51" s="122"/>
      <x:c r="G51" s="122"/>
      <x:c r="H51" s="122"/>
    </x:row>
    <x:row r="52" ht="24" customHeight="1">
      <x:c r="A52" s="122"/>
      <x:c r="B52" s="122"/>
      <x:c r="C52" s="122"/>
      <x:c r="D52" s="122"/>
      <x:c r="E52" s="122"/>
      <x:c r="F52" s="122"/>
      <x:c r="G52" s="122"/>
      <x:c r="H52" s="122"/>
    </x:row>
    <x:row r="55">
      <x:c r="A55" s="132" t="str">
        <x:v>判定が甘いときに追加で言うこと</x:v>
      </x:c>
      <x:c r="B55" s="132"/>
      <x:c r="C55" s="132"/>
      <x:c r="D55" s="132"/>
      <x:c r="E55" s="132"/>
      <x:c r="F55" s="132"/>
      <x:c r="G55" s="132"/>
      <x:c r="H55" s="132"/>
    </x:row>
    <x:row r="56" ht="30" customHeight="1">
      <x:c r="A56" s="122" t="str">
        <x:v>判定が甘いです。期限超過、進捗率50%未満、課題メモに「遅延」「未完了」「待ち」「調整中」「不明」が含まれる場合は、リスクレベルを高めに判定してください。高リスクにした理由、エスカレーション要否、次アクションも具体化してください。</x:v>
      </x:c>
      <x:c r="B56" s="122"/>
      <x:c r="C56" s="122"/>
      <x:c r="D56" s="122"/>
      <x:c r="E56" s="122"/>
      <x:c r="F56" s="122"/>
      <x:c r="G56" s="122"/>
      <x:c r="H56" s="122"/>
    </x:row>
    <x:row r="57" ht="30" customHeight="1">
      <x:c r="A57" s="122"/>
      <x:c r="B57" s="122"/>
      <x:c r="C57" s="122"/>
      <x:c r="D57" s="122"/>
      <x:c r="E57" s="122"/>
      <x:c r="F57" s="122"/>
      <x:c r="G57" s="122"/>
      <x:c r="H57" s="122"/>
    </x:row>
    <x:row r="58" ht="30" customHeight="1">
      <x:c r="A58" s="122"/>
      <x:c r="B58" s="122"/>
      <x:c r="C58" s="122"/>
      <x:c r="D58" s="122"/>
      <x:c r="E58" s="122"/>
      <x:c r="F58" s="122"/>
      <x:c r="G58" s="122"/>
      <x:c r="H58" s="122"/>
    </x:row>
  </x:sheetData>
  <x:mergeCells>
    <x:mergeCell ref="A1:H1"/>
    <x:mergeCell ref="A3:H3"/>
    <x:mergeCell ref="A4:H4"/>
    <x:mergeCell ref="A41:H41"/>
    <x:mergeCell ref="A42:H52"/>
    <x:mergeCell ref="A55:H55"/>
    <x:mergeCell ref="A56:H58"/>
  </x:mergeCells>
  <x:pageMargins left="0.7" right="0.7" top="0.75" bottom="0.75" header="0.3" footer="0.3"/>
</x:worksheet>
</file>