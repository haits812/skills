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f079f9c00a44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cdbbbefe0ef949d0"/>
    <x:sheet xmlns:r="http://schemas.openxmlformats.org/officeDocument/2006/relationships" name="事例一覧" sheetId="2" r:id="R3cea5102323042ad"/>
    <x:sheet xmlns:r="http://schemas.openxmlformats.org/officeDocument/2006/relationships" name="国別整理" sheetId="3" r:id="Rcbaf7af3fe624144"/>
    <x:sheet xmlns:r="http://schemas.openxmlformats.org/officeDocument/2006/relationships" name="画像構成" sheetId="4" r:id="R8ea7c5ac9452432e"/>
    <x:sheet xmlns:r="http://schemas.openxmlformats.org/officeDocument/2006/relationships" name="出典一覧" sheetId="5" r:id="Rf43836710efa4f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7">
    <x:font>
      <x:sz val="11"/>
      <x:name val="Carlito"/>
    </x:font>
    <x:font>
      <x:b/>
      <x:sz val="24"/>
      <x:color rgb="FFFFFFFF"/>
      <x:name val="Yu Gothic"/>
    </x:font>
    <x:font>
      <x:i/>
      <x:sz val="10"/>
      <x:color rgb="FF0B2239"/>
      <x:name val="Yu Gothic"/>
    </x:font>
    <x:font>
      <x:b/>
      <x:sz val="10"/>
      <x:color rgb="FFFFFFFF"/>
      <x:name val="Yu Gothic"/>
    </x:font>
    <x:font>
      <x:sz val="9"/>
      <x:color rgb="FF0B2239"/>
      <x:name val="Yu Gothic"/>
    </x:font>
    <x:font>
      <x:sz val="8"/>
      <x:color rgb="FF1D5E9E"/>
      <x:name val="Yu Gothic"/>
    </x:font>
    <x:font>
      <x:b/>
      <x:sz val="10"/>
      <x:color rgb="FF0B2239"/>
      <x:name val="Yu Gothic"/>
    </x:font>
    <x:font>
      <x:b/>
      <x:sz val="13"/>
      <x:color rgb="FFFFFFFF"/>
      <x:name val="Yu Gothic"/>
    </x:font>
    <x:font>
      <x:sz val="8"/>
      <x:color rgb="FF0B2239"/>
      <x:name val="Yu Gothic"/>
    </x:font>
    <x:font>
      <x:b/>
      <x:sz val="18"/>
      <x:color rgb="FFE4571B"/>
      <x:name val="Yu Gothic"/>
    </x:font>
    <x:font>
      <x:sz val="9"/>
      <x:color rgb="FF1D5E9E"/>
      <x:name val="Yu Gothic"/>
    </x:font>
    <x:font>
      <x:b/>
      <x:sz val="11"/>
      <x:color rgb="FF0B2239"/>
      <x:name val="Yu Gothic"/>
    </x:font>
    <x:font>
      <x:b/>
      <x:sz val="32"/>
      <x:color rgb="FFE4571B"/>
      <x:name val="Yu Gothic"/>
    </x:font>
    <x:font>
      <x:b/>
      <x:sz val="32"/>
      <x:color rgb="FF0B5D66"/>
      <x:name val="Yu Gothic"/>
    </x:font>
    <x:font>
      <x:sz val="11"/>
      <x:color rgb="FF0B2239"/>
      <x:name val="Yu Gothic"/>
    </x:font>
    <x:font>
      <x:b/>
      <x:sz val="16"/>
      <x:color rgb="FFE4571B"/>
      <x:name val="Yu Gothic"/>
    </x:font>
    <x:font>
      <x:sz val="10"/>
      <x:color rgb="FF0B2239"/>
      <x:name val="Yu Gothic"/>
    </x:font>
  </x:fonts>
  <x:fills count="11">
    <x:fill>
      <x:patternFill patternType="none"/>
    </x:fill>
    <x:fill>
      <x:patternFill patternType="gray125"/>
    </x:fill>
    <x:fill>
      <x:patternFill patternType="solid">
        <x:fgColor rgb="FF0B2239"/>
      </x:patternFill>
    </x:fill>
    <x:fill>
      <x:patternFill patternType="solid">
        <x:fgColor rgb="FFF4E7D2"/>
      </x:patternFill>
    </x:fill>
    <x:fill>
      <x:patternFill patternType="solid">
        <x:fgColor rgb="FF0B5D66"/>
      </x:patternFill>
    </x:fill>
    <x:fill>
      <x:patternFill patternType="solid">
        <x:fgColor rgb="FFFFFFFF"/>
      </x:patternFill>
    </x:fill>
    <x:fill>
      <x:patternFill patternType="solid">
        <x:fgColor rgb="FFDDEEDD"/>
      </x:patternFill>
    </x:fill>
    <x:fill>
      <x:patternFill patternType="solid">
        <x:fgColor rgb="FFFCE4B2"/>
      </x:patternFill>
    </x:fill>
    <x:fill>
      <x:patternFill patternType="solid">
        <x:fgColor rgb="FFF7C9C3"/>
      </x:patternFill>
    </x:fill>
    <x:fill>
      <x:patternFill patternType="solid">
        <x:fgColor rgb="FFE8F1EE"/>
      </x:patternFill>
    </x:fill>
    <x:fill>
      <x:patternFill patternType="solid">
        <x:fgColor rgb="FFFBF5E8"/>
      </x:patternFill>
    </x:fill>
  </x:fills>
  <x:borders count="26">
    <x:border/>
    <x:border>
      <x:left style="thin">
        <x:color rgb="FFC9D3D4"/>
      </x:left>
      <x:right style="thin">
        <x:color rgb="FFC9D3D4"/>
      </x:right>
      <x:top style="thin">
        <x:color rgb="FFC9D3D4"/>
      </x:top>
      <x:bottom style="thin">
        <x:color rgb="FFC9D3D4"/>
      </x:bottom>
    </x:border>
    <x:border>
      <x:left style="medium">
        <x:color rgb="FF0B5D66"/>
      </x:left>
      <x:top style="medium">
        <x:color rgb="FF0B5D66"/>
      </x:top>
    </x:border>
    <x:border>
      <x:top style="medium">
        <x:color rgb="FF0B5D66"/>
      </x:top>
    </x:border>
    <x:border>
      <x:right style="medium">
        <x:color rgb="FF0B5D66"/>
      </x:right>
      <x:top style="medium">
        <x:color rgb="FF0B5D66"/>
      </x:top>
    </x:border>
    <x:border>
      <x:left style="medium">
        <x:color rgb="FF0B5D66"/>
      </x:left>
    </x:border>
    <x:border>
      <x:right style="medium">
        <x:color rgb="FF0B5D66"/>
      </x:right>
    </x:border>
    <x:border>
      <x:left style="medium">
        <x:color rgb="FF0B5D66"/>
      </x:left>
      <x:bottom style="medium">
        <x:color rgb="FF0B5D66"/>
      </x:bottom>
    </x:border>
    <x:border>
      <x:bottom style="medium">
        <x:color rgb="FF0B5D66"/>
      </x:bottom>
    </x:border>
    <x:border>
      <x:right style="medium">
        <x:color rgb="FF0B5D66"/>
      </x:right>
      <x:bottom style="medium">
        <x:color rgb="FF0B5D66"/>
      </x:bottom>
    </x:border>
    <x:border>
      <x:left style="medium">
        <x:color rgb="FFE4571B"/>
      </x:left>
      <x:top style="medium">
        <x:color rgb="FFE4571B"/>
      </x:top>
    </x:border>
    <x:border>
      <x:top style="medium">
        <x:color rgb="FFE4571B"/>
      </x:top>
    </x:border>
    <x:border>
      <x:right style="medium">
        <x:color rgb="FFE4571B"/>
      </x:right>
      <x:top style="medium">
        <x:color rgb="FFE4571B"/>
      </x:top>
    </x:border>
    <x:border>
      <x:left style="medium">
        <x:color rgb="FFE4571B"/>
      </x:left>
    </x:border>
    <x:border>
      <x:right style="medium">
        <x:color rgb="FFE4571B"/>
      </x:right>
    </x:border>
    <x:border>
      <x:left style="medium">
        <x:color rgb="FFE4571B"/>
      </x:left>
      <x:bottom style="medium">
        <x:color rgb="FFE4571B"/>
      </x:bottom>
    </x:border>
    <x:border>
      <x:bottom style="medium">
        <x:color rgb="FFE4571B"/>
      </x:bottom>
    </x:border>
    <x:border>
      <x:right style="medium">
        <x:color rgb="FFE4571B"/>
      </x:right>
      <x:bottom style="medium">
        <x:color rgb="FFE4571B"/>
      </x:bottom>
    </x:border>
    <x:border>
      <x:left style="thin">
        <x:color rgb="FFC9D3D4"/>
      </x:left>
      <x:top style="thin">
        <x:color rgb="FFC9D3D4"/>
      </x:top>
    </x:border>
    <x:border>
      <x:top style="thin">
        <x:color rgb="FFC9D3D4"/>
      </x:top>
    </x:border>
    <x:border>
      <x:right style="thin">
        <x:color rgb="FFC9D3D4"/>
      </x:right>
      <x:top style="thin">
        <x:color rgb="FFC9D3D4"/>
      </x:top>
    </x:border>
    <x:border>
      <x:left style="thin">
        <x:color rgb="FFC9D3D4"/>
      </x:left>
    </x:border>
    <x:border>
      <x:right style="thin">
        <x:color rgb="FFC9D3D4"/>
      </x:right>
    </x:border>
    <x:border>
      <x:left style="thin">
        <x:color rgb="FFC9D3D4"/>
      </x:left>
      <x:bottom style="thin">
        <x:color rgb="FFC9D3D4"/>
      </x:bottom>
    </x:border>
    <x:border>
      <x:bottom style="thin">
        <x:color rgb="FFC9D3D4"/>
      </x:bottom>
    </x:border>
    <x:border>
      <x:right style="thin">
        <x:color rgb="FFC9D3D4"/>
      </x:right>
      <x:bottom style="thin">
        <x:color rgb="FFC9D3D4"/>
      </x:bottom>
    </x:border>
  </x:borders>
  <x:cellStyleXfs count="1">
    <x:xf numFmtId="0" fontId="0" fillId="0" borderId="0"/>
  </x:cellStyleXfs>
  <x:cellXfs count="2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wrapText="1"/>
    </x:xf>
    <x:xf numFmtId="0" fontId="4" fillId="5" borderId="1" xfId="0" applyNumberFormat="1" applyFont="1" applyFill="1" applyBorder="1" applyAlignment="1">
      <x:alignment horizontal="left"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5" fillId="5" borderId="1" xfId="0" applyNumberFormat="1" applyFont="1" applyFill="1" applyBorder="1" applyAlignment="1">
      <x:alignment horizontal="left"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6" fillId="6" borderId="1" xfId="0" applyNumberFormat="1" applyFont="1" applyFill="1" applyBorder="1" applyAlignment="1">
      <x:alignment horizontal="center" vertical="top" wrapText="1"/>
    </x:xf>
    <x:xf numFmtId="0" fontId="4" fillId="7" borderId="1" xfId="0" applyNumberFormat="1" applyFont="1" applyFill="1" applyBorder="1" applyAlignment="1">
      <x:alignment horizontal="center" vertical="top" wrapText="1"/>
    </x:xf>
    <x:xf numFmtId="0" fontId="6" fillId="7" borderId="1" xfId="0" applyNumberFormat="1" applyFont="1" applyFill="1" applyBorder="1" applyAlignment="1">
      <x:alignment horizontal="center" vertical="top" wrapText="1"/>
    </x:xf>
    <x:xf numFmtId="0" fontId="4" fillId="8" borderId="1" xfId="0" applyNumberFormat="1" applyFont="1" applyFill="1" applyBorder="1" applyAlignment="1">
      <x:alignment horizontal="center" vertical="top" wrapText="1"/>
    </x:xf>
    <x:xf numFmtId="0" fontId="6" fillId="8" borderId="1" xfId="0" applyNumberFormat="1" applyFont="1" applyFill="1" applyBorder="1" applyAlignment="1">
      <x:alignment horizontal="center" vertical="top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left" wrapText="1"/>
    </x:xf>
    <x:xf numFmtId="0" fontId="7" fillId="4" borderId="0" xfId="0" applyNumberFormat="1" applyFont="1" applyFill="1" applyBorder="1" applyAlignment="1">
      <x:alignment horizontal="left" vertical="center" wrapText="1"/>
    </x:xf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horizontal="left" wrapText="1"/>
    </x:xf>
    <x:xf numFmtId="0" fontId="8" fillId="5" borderId="1" xfId="0" applyNumberFormat="1" applyFont="1" applyFill="1" applyBorder="1" applyAlignment="1">
      <x:alignment horizontal="left" vertical="top" wrapText="1"/>
    </x:xf>
    <x:xf numFmtId="0" fontId="8" fillId="5" borderId="1" xfId="0" applyNumberFormat="1" applyFont="1" applyFill="1" applyBorder="1" applyAlignment="1">
      <x:alignment horizontal="center" vertical="top" wrapText="1"/>
    </x:xf>
    <x:xf numFmtId="0" fontId="4" fillId="9" borderId="1" xfId="0" applyNumberFormat="1" applyFont="1" applyFill="1" applyBorder="1" applyAlignment="1">
      <x:alignment horizontal="left" vertical="top" wrapText="1"/>
    </x:xf>
    <x:xf numFmtId="0" fontId="9" fillId="9" borderId="1" xfId="0" applyNumberFormat="1" applyFont="1" applyFill="1" applyBorder="1" applyAlignment="1">
      <x:alignment horizontal="left" vertical="top" wrapText="1"/>
    </x:xf>
    <x:xf numFmtId="0" fontId="9" fillId="9" borderId="1" xfId="0" applyNumberFormat="1" applyFont="1" applyFill="1" applyBorder="1" applyAlignment="1">
      <x:alignment horizontal="center" vertical="top" wrapText="1"/>
    </x:xf>
    <x:xf numFmtId="0" fontId="9" fillId="9" borderId="1" xfId="0" applyNumberFormat="1" applyFont="1" applyFill="1" applyBorder="1" applyAlignment="1">
      <x:alignment horizontal="center" vertical="center" wrapText="1"/>
    </x:xf>
    <x:xf numFmtId="0" fontId="10" fillId="5" borderId="1" xfId="0" applyNumberFormat="1" applyFont="1" applyFill="1" applyBorder="1" applyAlignment="1">
      <x:alignment horizontal="left" vertical="top" wrapText="1"/>
    </x:xf>
    <x:xf numFmtId="200" fontId="4" fillId="5" borderId="1" xfId="0" applyNumberFormat="1" applyFont="1" applyFill="1" applyBorder="1" applyAlignment="1">
      <x:alignment horizontal="left" vertical="top" wrapText="1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horizontal="left" wrapText="1"/>
    </x:xf>
    <x:xf numFmtId="0" fontId="11" fillId="3" borderId="0" xfId="0" applyNumberFormat="1" applyFont="1" applyFill="1" applyBorder="1" applyAlignment="1">
      <x:alignment horizontal="left" vertical="center" wrapText="1"/>
    </x:xf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2" xfId="0" applyNumberFormat="1" applyFont="1" applyFill="1" applyBorder="1"/>
    <x:xf numFmtId="0" fontId="12" fillId="10" borderId="3" xfId="0" applyNumberFormat="1" applyFont="1" applyFill="1" applyBorder="1"/>
    <x:xf numFmtId="0" fontId="12" fillId="10" borderId="4" xfId="0" applyNumberFormat="1" applyFont="1" applyFill="1" applyBorder="1"/>
    <x:xf numFmtId="0" fontId="12" fillId="10" borderId="5" xfId="0" applyNumberFormat="1" applyFont="1" applyFill="1" applyBorder="1"/>
    <x:xf numFmtId="0" fontId="12" fillId="10" borderId="6" xfId="0" applyNumberFormat="1" applyFont="1" applyFill="1" applyBorder="1"/>
    <x:xf numFmtId="0" fontId="12" fillId="10" borderId="7" xfId="0" applyNumberFormat="1" applyFont="1" applyFill="1" applyBorder="1"/>
    <x:xf numFmtId="0" fontId="12" fillId="10" borderId="8" xfId="0" applyNumberFormat="1" applyFont="1" applyFill="1" applyBorder="1"/>
    <x:xf numFmtId="0" fontId="12" fillId="10" borderId="9" xfId="0" applyNumberFormat="1" applyFont="1" applyFill="1" applyBorder="1"/>
    <x:xf numFmtId="0" fontId="12" fillId="10" borderId="2" xfId="0" applyNumberFormat="1" applyFont="1" applyFill="1" applyBorder="1" applyAlignment="1">
      <x:alignment horizontal="center"/>
    </x:xf>
    <x:xf numFmtId="0" fontId="12" fillId="10" borderId="3" xfId="0" applyNumberFormat="1" applyFont="1" applyFill="1" applyBorder="1" applyAlignment="1">
      <x:alignment horizontal="center"/>
    </x:xf>
    <x:xf numFmtId="0" fontId="12" fillId="10" borderId="4" xfId="0" applyNumberFormat="1" applyFont="1" applyFill="1" applyBorder="1" applyAlignment="1">
      <x:alignment horizontal="center"/>
    </x:xf>
    <x:xf numFmtId="0" fontId="12" fillId="10" borderId="5" xfId="0" applyNumberFormat="1" applyFont="1" applyFill="1" applyBorder="1" applyAlignment="1">
      <x:alignment horizontal="center"/>
    </x:xf>
    <x:xf numFmtId="0" fontId="12" fillId="10" borderId="0" xfId="0" applyNumberFormat="1" applyFont="1" applyFill="1" applyBorder="1" applyAlignment="1">
      <x:alignment horizontal="center"/>
    </x:xf>
    <x:xf numFmtId="0" fontId="12" fillId="10" borderId="6" xfId="0" applyNumberFormat="1" applyFont="1" applyFill="1" applyBorder="1" applyAlignment="1">
      <x:alignment horizontal="center"/>
    </x:xf>
    <x:xf numFmtId="0" fontId="12" fillId="10" borderId="7" xfId="0" applyNumberFormat="1" applyFont="1" applyFill="1" applyBorder="1" applyAlignment="1">
      <x:alignment horizontal="center"/>
    </x:xf>
    <x:xf numFmtId="0" fontId="12" fillId="10" borderId="8" xfId="0" applyNumberFormat="1" applyFont="1" applyFill="1" applyBorder="1" applyAlignment="1">
      <x:alignment horizontal="center"/>
    </x:xf>
    <x:xf numFmtId="0" fontId="12" fillId="10" borderId="9" xfId="0" applyNumberFormat="1" applyFont="1" applyFill="1" applyBorder="1" applyAlignment="1">
      <x:alignment horizontal="center"/>
    </x:xf>
    <x:xf numFmtId="0" fontId="12" fillId="10" borderId="2" xfId="0" applyNumberFormat="1" applyFont="1" applyFill="1" applyBorder="1" applyAlignment="1">
      <x:alignment horizontal="center" vertical="center"/>
    </x:xf>
    <x:xf numFmtId="0" fontId="12" fillId="10" borderId="3" xfId="0" applyNumberFormat="1" applyFont="1" applyFill="1" applyBorder="1" applyAlignment="1">
      <x:alignment horizontal="center" vertical="center"/>
    </x:xf>
    <x:xf numFmtId="0" fontId="12" fillId="10" borderId="4" xfId="0" applyNumberFormat="1" applyFont="1" applyFill="1" applyBorder="1" applyAlignment="1">
      <x:alignment horizontal="center" vertical="center"/>
    </x:xf>
    <x:xf numFmtId="0" fontId="12" fillId="10" borderId="5" xfId="0" applyNumberFormat="1" applyFont="1" applyFill="1" applyBorder="1" applyAlignment="1">
      <x:alignment horizontal="center" vertical="center"/>
    </x:xf>
    <x:xf numFmtId="0" fontId="12" fillId="10" borderId="0" xfId="0" applyNumberFormat="1" applyFont="1" applyFill="1" applyBorder="1" applyAlignment="1">
      <x:alignment horizontal="center" vertical="center"/>
    </x:xf>
    <x:xf numFmtId="0" fontId="12" fillId="10" borderId="6" xfId="0" applyNumberFormat="1" applyFont="1" applyFill="1" applyBorder="1" applyAlignment="1">
      <x:alignment horizontal="center" vertical="center"/>
    </x:xf>
    <x:xf numFmtId="0" fontId="12" fillId="10" borderId="7" xfId="0" applyNumberFormat="1" applyFont="1" applyFill="1" applyBorder="1" applyAlignment="1">
      <x:alignment horizontal="center" vertical="center"/>
    </x:xf>
    <x:xf numFmtId="0" fontId="12" fillId="10" borderId="8" xfId="0" applyNumberFormat="1" applyFont="1" applyFill="1" applyBorder="1" applyAlignment="1">
      <x:alignment horizontal="center" vertical="center"/>
    </x:xf>
    <x:xf numFmtId="0" fontId="12" fillId="10" borderId="9" xfId="0" applyNumberFormat="1" applyFont="1" applyFill="1" applyBorder="1" applyAlignment="1">
      <x:alignment horizontal="center" vertical="center"/>
    </x:xf>
    <x:xf numFmtId="0" fontId="13" fillId="10" borderId="0" xfId="0" applyNumberFormat="1" applyFont="1" applyFill="1" applyBorder="1"/>
    <x:xf numFmtId="0" fontId="13" fillId="10" borderId="2" xfId="0" applyNumberFormat="1" applyFont="1" applyFill="1" applyBorder="1"/>
    <x:xf numFmtId="0" fontId="13" fillId="10" borderId="3" xfId="0" applyNumberFormat="1" applyFont="1" applyFill="1" applyBorder="1"/>
    <x:xf numFmtId="0" fontId="13" fillId="10" borderId="4" xfId="0" applyNumberFormat="1" applyFont="1" applyFill="1" applyBorder="1"/>
    <x:xf numFmtId="0" fontId="13" fillId="10" borderId="5" xfId="0" applyNumberFormat="1" applyFont="1" applyFill="1" applyBorder="1"/>
    <x:xf numFmtId="0" fontId="13" fillId="10" borderId="6" xfId="0" applyNumberFormat="1" applyFont="1" applyFill="1" applyBorder="1"/>
    <x:xf numFmtId="0" fontId="13" fillId="10" borderId="7" xfId="0" applyNumberFormat="1" applyFont="1" applyFill="1" applyBorder="1"/>
    <x:xf numFmtId="0" fontId="13" fillId="10" borderId="8" xfId="0" applyNumberFormat="1" applyFont="1" applyFill="1" applyBorder="1"/>
    <x:xf numFmtId="0" fontId="13" fillId="10" borderId="9" xfId="0" applyNumberFormat="1" applyFont="1" applyFill="1" applyBorder="1"/>
    <x:xf numFmtId="0" fontId="13" fillId="10" borderId="2" xfId="0" applyNumberFormat="1" applyFont="1" applyFill="1" applyBorder="1" applyAlignment="1">
      <x:alignment horizontal="center"/>
    </x:xf>
    <x:xf numFmtId="0" fontId="13" fillId="10" borderId="3" xfId="0" applyNumberFormat="1" applyFont="1" applyFill="1" applyBorder="1" applyAlignment="1">
      <x:alignment horizontal="center"/>
    </x:xf>
    <x:xf numFmtId="0" fontId="13" fillId="10" borderId="4" xfId="0" applyNumberFormat="1" applyFont="1" applyFill="1" applyBorder="1" applyAlignment="1">
      <x:alignment horizontal="center"/>
    </x:xf>
    <x:xf numFmtId="0" fontId="13" fillId="10" borderId="5" xfId="0" applyNumberFormat="1" applyFont="1" applyFill="1" applyBorder="1" applyAlignment="1">
      <x:alignment horizontal="center"/>
    </x:xf>
    <x:xf numFmtId="0" fontId="13" fillId="10" borderId="0" xfId="0" applyNumberFormat="1" applyFont="1" applyFill="1" applyBorder="1" applyAlignment="1">
      <x:alignment horizontal="center"/>
    </x:xf>
    <x:xf numFmtId="0" fontId="13" fillId="10" borderId="6" xfId="0" applyNumberFormat="1" applyFont="1" applyFill="1" applyBorder="1" applyAlignment="1">
      <x:alignment horizontal="center"/>
    </x:xf>
    <x:xf numFmtId="0" fontId="13" fillId="10" borderId="7" xfId="0" applyNumberFormat="1" applyFont="1" applyFill="1" applyBorder="1" applyAlignment="1">
      <x:alignment horizontal="center"/>
    </x:xf>
    <x:xf numFmtId="0" fontId="13" fillId="10" borderId="8" xfId="0" applyNumberFormat="1" applyFont="1" applyFill="1" applyBorder="1" applyAlignment="1">
      <x:alignment horizontal="center"/>
    </x:xf>
    <x:xf numFmtId="0" fontId="13" fillId="10" borderId="9" xfId="0" applyNumberFormat="1" applyFont="1" applyFill="1" applyBorder="1" applyAlignment="1">
      <x:alignment horizontal="center"/>
    </x:xf>
    <x:xf numFmtId="0" fontId="13" fillId="10" borderId="2" xfId="0" applyNumberFormat="1" applyFont="1" applyFill="1" applyBorder="1" applyAlignment="1">
      <x:alignment horizontal="center" vertical="center"/>
    </x:xf>
    <x:xf numFmtId="0" fontId="13" fillId="10" borderId="3" xfId="0" applyNumberFormat="1" applyFont="1" applyFill="1" applyBorder="1" applyAlignment="1">
      <x:alignment horizontal="center" vertical="center"/>
    </x:xf>
    <x:xf numFmtId="0" fontId="13" fillId="10" borderId="4" xfId="0" applyNumberFormat="1" applyFont="1" applyFill="1" applyBorder="1" applyAlignment="1">
      <x:alignment horizontal="center" vertical="center"/>
    </x:xf>
    <x:xf numFmtId="0" fontId="13" fillId="10" borderId="5" xfId="0" applyNumberFormat="1" applyFont="1" applyFill="1" applyBorder="1" applyAlignment="1">
      <x:alignment horizontal="center" vertical="center"/>
    </x:xf>
    <x:xf numFmtId="0" fontId="13" fillId="10" borderId="0" xfId="0" applyNumberFormat="1" applyFont="1" applyFill="1" applyBorder="1" applyAlignment="1">
      <x:alignment horizontal="center" vertical="center"/>
    </x:xf>
    <x:xf numFmtId="0" fontId="13" fillId="10" borderId="6" xfId="0" applyNumberFormat="1" applyFont="1" applyFill="1" applyBorder="1" applyAlignment="1">
      <x:alignment horizontal="center" vertical="center"/>
    </x:xf>
    <x:xf numFmtId="0" fontId="13" fillId="10" borderId="7" xfId="0" applyNumberFormat="1" applyFont="1" applyFill="1" applyBorder="1" applyAlignment="1">
      <x:alignment horizontal="center" vertical="center"/>
    </x:xf>
    <x:xf numFmtId="0" fontId="13" fillId="10" borderId="8" xfId="0" applyNumberFormat="1" applyFont="1" applyFill="1" applyBorder="1" applyAlignment="1">
      <x:alignment horizontal="center" vertical="center"/>
    </x:xf>
    <x:xf numFmtId="0" fontId="13" fillId="10" borderId="9" xfId="0" applyNumberFormat="1" applyFont="1" applyFill="1" applyBorder="1" applyAlignment="1">
      <x:alignment horizontal="center" vertical="center"/>
    </x:xf>
    <x:xf numFmtId="0" fontId="14" fillId="5" borderId="0" xfId="0" applyNumberFormat="1" applyFont="1" applyFill="1" applyBorder="1"/>
    <x:xf numFmtId="0" fontId="14" fillId="5" borderId="1" xfId="0" applyNumberFormat="1" applyFont="1" applyFill="1" applyBorder="1"/>
    <x:xf numFmtId="0" fontId="14" fillId="5" borderId="1" xfId="0" applyNumberFormat="1" applyFont="1" applyFill="1" applyBorder="1" applyAlignment="1">
      <x:alignment wrapText="1"/>
    </x:xf>
    <x:xf numFmtId="0" fontId="14" fillId="5" borderId="1" xfId="0" applyNumberFormat="1" applyFont="1" applyFill="1" applyBorder="1" applyAlignment="1">
      <x:alignment horizontal="left" wrapText="1"/>
    </x:xf>
    <x:xf numFmtId="0" fontId="14" fillId="5" borderId="1" xfId="0" applyNumberFormat="1" applyFont="1" applyFill="1" applyBorder="1" applyAlignment="1">
      <x:alignment horizontal="left" vertical="top" wrapText="1"/>
    </x:xf>
    <x:xf numFmtId="0" fontId="14" fillId="9" borderId="1" xfId="0" applyNumberFormat="1" applyFont="1" applyFill="1" applyBorder="1" applyAlignment="1">
      <x:alignment horizontal="left" vertical="top" wrapText="1"/>
    </x:xf>
    <x:xf numFmtId="0" fontId="15" fillId="9" borderId="1" xfId="0" applyNumberFormat="1" applyFont="1" applyFill="1" applyBorder="1" applyAlignment="1">
      <x:alignment horizontal="left" vertical="top" wrapText="1"/>
    </x:xf>
    <x:xf numFmtId="0" fontId="15" fillId="9" borderId="1" xfId="0" applyNumberFormat="1" applyFont="1" applyFill="1" applyBorder="1" applyAlignment="1">
      <x:alignment horizontal="center" vertical="top" wrapText="1"/>
    </x:xf>
    <x:xf numFmtId="0" fontId="15" fillId="9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2" xfId="0" applyNumberFormat="1" applyFont="1" applyFill="1" applyBorder="1"/>
    <x:xf numFmtId="0" fontId="11" fillId="9" borderId="3" xfId="0" applyNumberFormat="1" applyFont="1" applyFill="1" applyBorder="1"/>
    <x:xf numFmtId="0" fontId="11" fillId="9" borderId="4" xfId="0" applyNumberFormat="1" applyFont="1" applyFill="1" applyBorder="1"/>
    <x:xf numFmtId="0" fontId="11" fillId="9" borderId="5" xfId="0" applyNumberFormat="1" applyFont="1" applyFill="1" applyBorder="1"/>
    <x:xf numFmtId="0" fontId="11" fillId="9" borderId="6" xfId="0" applyNumberFormat="1" applyFont="1" applyFill="1" applyBorder="1"/>
    <x:xf numFmtId="0" fontId="11" fillId="9" borderId="7" xfId="0" applyNumberFormat="1" applyFont="1" applyFill="1" applyBorder="1"/>
    <x:xf numFmtId="0" fontId="11" fillId="9" borderId="8" xfId="0" applyNumberFormat="1" applyFont="1" applyFill="1" applyBorder="1"/>
    <x:xf numFmtId="0" fontId="11" fillId="9" borderId="9" xfId="0" applyNumberFormat="1" applyFont="1" applyFill="1" applyBorder="1"/>
    <x:xf numFmtId="0" fontId="11" fillId="9" borderId="2" xfId="0" applyNumberFormat="1" applyFont="1" applyFill="1" applyBorder="1" applyAlignment="1">
      <x:alignment wrapText="1"/>
    </x:xf>
    <x:xf numFmtId="0" fontId="11" fillId="9" borderId="3" xfId="0" applyNumberFormat="1" applyFont="1" applyFill="1" applyBorder="1" applyAlignment="1">
      <x:alignment wrapText="1"/>
    </x:xf>
    <x:xf numFmtId="0" fontId="11" fillId="9" borderId="4" xfId="0" applyNumberFormat="1" applyFont="1" applyFill="1" applyBorder="1" applyAlignment="1">
      <x:alignment wrapText="1"/>
    </x:xf>
    <x:xf numFmtId="0" fontId="11" fillId="9" borderId="5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wrapText="1"/>
    </x:xf>
    <x:xf numFmtId="0" fontId="11" fillId="9" borderId="6" xfId="0" applyNumberFormat="1" applyFont="1" applyFill="1" applyBorder="1" applyAlignment="1">
      <x:alignment wrapText="1"/>
    </x:xf>
    <x:xf numFmtId="0" fontId="11" fillId="9" borderId="7" xfId="0" applyNumberFormat="1" applyFont="1" applyFill="1" applyBorder="1" applyAlignment="1">
      <x:alignment wrapText="1"/>
    </x:xf>
    <x:xf numFmtId="0" fontId="11" fillId="9" borderId="8" xfId="0" applyNumberFormat="1" applyFont="1" applyFill="1" applyBorder="1" applyAlignment="1">
      <x:alignment wrapText="1"/>
    </x:xf>
    <x:xf numFmtId="0" fontId="11" fillId="9" borderId="9" xfId="0" applyNumberFormat="1" applyFont="1" applyFill="1" applyBorder="1" applyAlignment="1">
      <x:alignment wrapText="1"/>
    </x:xf>
    <x:xf numFmtId="0" fontId="11" fillId="9" borderId="2" xfId="0" applyNumberFormat="1" applyFont="1" applyFill="1" applyBorder="1" applyAlignment="1">
      <x:alignment horizontal="left" wrapText="1"/>
    </x:xf>
    <x:xf numFmtId="0" fontId="11" fillId="9" borderId="3" xfId="0" applyNumberFormat="1" applyFont="1" applyFill="1" applyBorder="1" applyAlignment="1">
      <x:alignment horizontal="left" wrapText="1"/>
    </x:xf>
    <x:xf numFmtId="0" fontId="11" fillId="9" borderId="4" xfId="0" applyNumberFormat="1" applyFont="1" applyFill="1" applyBorder="1" applyAlignment="1">
      <x:alignment horizontal="left" wrapText="1"/>
    </x:xf>
    <x:xf numFmtId="0" fontId="11" fillId="9" borderId="5" xfId="0" applyNumberFormat="1" applyFont="1" applyFill="1" applyBorder="1" applyAlignment="1">
      <x:alignment horizontal="left" wrapText="1"/>
    </x:xf>
    <x:xf numFmtId="0" fontId="11" fillId="9" borderId="0" xfId="0" applyNumberFormat="1" applyFont="1" applyFill="1" applyBorder="1" applyAlignment="1">
      <x:alignment horizontal="left" wrapText="1"/>
    </x:xf>
    <x:xf numFmtId="0" fontId="11" fillId="9" borderId="6" xfId="0" applyNumberFormat="1" applyFont="1" applyFill="1" applyBorder="1" applyAlignment="1">
      <x:alignment horizontal="left" wrapText="1"/>
    </x:xf>
    <x:xf numFmtId="0" fontId="11" fillId="9" borderId="7" xfId="0" applyNumberFormat="1" applyFont="1" applyFill="1" applyBorder="1" applyAlignment="1">
      <x:alignment horizontal="left" wrapText="1"/>
    </x:xf>
    <x:xf numFmtId="0" fontId="11" fillId="9" borderId="8" xfId="0" applyNumberFormat="1" applyFont="1" applyFill="1" applyBorder="1" applyAlignment="1">
      <x:alignment horizontal="left" wrapText="1"/>
    </x:xf>
    <x:xf numFmtId="0" fontId="11" fillId="9" borderId="9" xfId="0" applyNumberFormat="1" applyFont="1" applyFill="1" applyBorder="1" applyAlignment="1">
      <x:alignment horizontal="left" wrapText="1"/>
    </x:xf>
    <x:xf numFmtId="0" fontId="11" fillId="9" borderId="2" xfId="0" applyNumberFormat="1" applyFont="1" applyFill="1" applyBorder="1" applyAlignment="1">
      <x:alignment horizontal="left" vertical="center" wrapText="1"/>
    </x:xf>
    <x:xf numFmtId="0" fontId="11" fillId="9" borderId="3" xfId="0" applyNumberFormat="1" applyFont="1" applyFill="1" applyBorder="1" applyAlignment="1">
      <x:alignment horizontal="left" vertical="center" wrapText="1"/>
    </x:xf>
    <x:xf numFmtId="0" fontId="11" fillId="9" borderId="4" xfId="0" applyNumberFormat="1" applyFont="1" applyFill="1" applyBorder="1" applyAlignment="1">
      <x:alignment horizontal="left" vertical="center" wrapText="1"/>
    </x:xf>
    <x:xf numFmtId="0" fontId="11" fillId="9" borderId="5" xfId="0" applyNumberFormat="1" applyFont="1" applyFill="1" applyBorder="1" applyAlignment="1">
      <x:alignment horizontal="left" vertical="center" wrapText="1"/>
    </x:xf>
    <x:xf numFmtId="0" fontId="11" fillId="9" borderId="0" xfId="0" applyNumberFormat="1" applyFont="1" applyFill="1" applyBorder="1" applyAlignment="1">
      <x:alignment horizontal="left" vertical="center" wrapText="1"/>
    </x:xf>
    <x:xf numFmtId="0" fontId="11" fillId="9" borderId="6" xfId="0" applyNumberFormat="1" applyFont="1" applyFill="1" applyBorder="1" applyAlignment="1">
      <x:alignment horizontal="left" vertical="center" wrapText="1"/>
    </x:xf>
    <x:xf numFmtId="0" fontId="11" fillId="9" borderId="7" xfId="0" applyNumberFormat="1" applyFont="1" applyFill="1" applyBorder="1" applyAlignment="1">
      <x:alignment horizontal="left" vertical="center" wrapText="1"/>
    </x:xf>
    <x:xf numFmtId="0" fontId="11" fillId="9" borderId="8" xfId="0" applyNumberFormat="1" applyFont="1" applyFill="1" applyBorder="1" applyAlignment="1">
      <x:alignment horizontal="left" vertical="center" wrapText="1"/>
    </x:xf>
    <x:xf numFmtId="0" fontId="11" fillId="9" borderId="9" xfId="0" applyNumberFormat="1" applyFont="1" applyFill="1" applyBorder="1" applyAlignment="1">
      <x:alignment horizontal="left" vertical="center" wrapText="1"/>
    </x:xf>
    <x:xf numFmtId="0" fontId="11" fillId="10" borderId="0" xfId="0" applyNumberFormat="1" applyFont="1" applyFill="1" applyBorder="1"/>
    <x:xf numFmtId="0" fontId="11" fillId="10" borderId="10" xfId="0" applyNumberFormat="1" applyFont="1" applyFill="1" applyBorder="1"/>
    <x:xf numFmtId="0" fontId="11" fillId="10" borderId="11" xfId="0" applyNumberFormat="1" applyFont="1" applyFill="1" applyBorder="1"/>
    <x:xf numFmtId="0" fontId="11" fillId="10" borderId="12" xfId="0" applyNumberFormat="1" applyFont="1" applyFill="1" applyBorder="1"/>
    <x:xf numFmtId="0" fontId="11" fillId="10" borderId="13" xfId="0" applyNumberFormat="1" applyFont="1" applyFill="1" applyBorder="1"/>
    <x:xf numFmtId="0" fontId="11" fillId="10" borderId="14" xfId="0" applyNumberFormat="1" applyFont="1" applyFill="1" applyBorder="1"/>
    <x:xf numFmtId="0" fontId="11" fillId="10" borderId="15" xfId="0" applyNumberFormat="1" applyFont="1" applyFill="1" applyBorder="1"/>
    <x:xf numFmtId="0" fontId="11" fillId="10" borderId="16" xfId="0" applyNumberFormat="1" applyFont="1" applyFill="1" applyBorder="1"/>
    <x:xf numFmtId="0" fontId="11" fillId="10" borderId="17" xfId="0" applyNumberFormat="1" applyFont="1" applyFill="1" applyBorder="1"/>
    <x:xf numFmtId="0" fontId="11" fillId="10" borderId="10" xfId="0" applyNumberFormat="1" applyFont="1" applyFill="1" applyBorder="1" applyAlignment="1">
      <x:alignment wrapText="1"/>
    </x:xf>
    <x:xf numFmtId="0" fontId="11" fillId="10" borderId="11" xfId="0" applyNumberFormat="1" applyFont="1" applyFill="1" applyBorder="1" applyAlignment="1">
      <x:alignment wrapText="1"/>
    </x:xf>
    <x:xf numFmtId="0" fontId="11" fillId="10" borderId="12" xfId="0" applyNumberFormat="1" applyFont="1" applyFill="1" applyBorder="1" applyAlignment="1">
      <x:alignment wrapText="1"/>
    </x:xf>
    <x:xf numFmtId="0" fontId="11" fillId="10" borderId="13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wrapText="1"/>
    </x:xf>
    <x:xf numFmtId="0" fontId="11" fillId="10" borderId="14" xfId="0" applyNumberFormat="1" applyFont="1" applyFill="1" applyBorder="1" applyAlignment="1">
      <x:alignment wrapText="1"/>
    </x:xf>
    <x:xf numFmtId="0" fontId="11" fillId="10" borderId="15" xfId="0" applyNumberFormat="1" applyFont="1" applyFill="1" applyBorder="1" applyAlignment="1">
      <x:alignment wrapText="1"/>
    </x:xf>
    <x:xf numFmtId="0" fontId="11" fillId="10" borderId="16" xfId="0" applyNumberFormat="1" applyFont="1" applyFill="1" applyBorder="1" applyAlignment="1">
      <x:alignment wrapText="1"/>
    </x:xf>
    <x:xf numFmtId="0" fontId="11" fillId="10" borderId="17" xfId="0" applyNumberFormat="1" applyFont="1" applyFill="1" applyBorder="1" applyAlignment="1">
      <x:alignment wrapText="1"/>
    </x:xf>
    <x:xf numFmtId="0" fontId="11" fillId="10" borderId="10" xfId="0" applyNumberFormat="1" applyFont="1" applyFill="1" applyBorder="1" applyAlignment="1">
      <x:alignment horizontal="left" wrapText="1"/>
    </x:xf>
    <x:xf numFmtId="0" fontId="11" fillId="10" borderId="11" xfId="0" applyNumberFormat="1" applyFont="1" applyFill="1" applyBorder="1" applyAlignment="1">
      <x:alignment horizontal="left" wrapText="1"/>
    </x:xf>
    <x:xf numFmtId="0" fontId="11" fillId="10" borderId="12" xfId="0" applyNumberFormat="1" applyFont="1" applyFill="1" applyBorder="1" applyAlignment="1">
      <x:alignment horizontal="left" wrapText="1"/>
    </x:xf>
    <x:xf numFmtId="0" fontId="11" fillId="10" borderId="13" xfId="0" applyNumberFormat="1" applyFont="1" applyFill="1" applyBorder="1" applyAlignment="1">
      <x:alignment horizontal="left" wrapText="1"/>
    </x:xf>
    <x:xf numFmtId="0" fontId="11" fillId="10" borderId="0" xfId="0" applyNumberFormat="1" applyFont="1" applyFill="1" applyBorder="1" applyAlignment="1">
      <x:alignment horizontal="left" wrapText="1"/>
    </x:xf>
    <x:xf numFmtId="0" fontId="11" fillId="10" borderId="14" xfId="0" applyNumberFormat="1" applyFont="1" applyFill="1" applyBorder="1" applyAlignment="1">
      <x:alignment horizontal="left" wrapText="1"/>
    </x:xf>
    <x:xf numFmtId="0" fontId="11" fillId="10" borderId="15" xfId="0" applyNumberFormat="1" applyFont="1" applyFill="1" applyBorder="1" applyAlignment="1">
      <x:alignment horizontal="left" wrapText="1"/>
    </x:xf>
    <x:xf numFmtId="0" fontId="11" fillId="10" borderId="16" xfId="0" applyNumberFormat="1" applyFont="1" applyFill="1" applyBorder="1" applyAlignment="1">
      <x:alignment horizontal="left" wrapText="1"/>
    </x:xf>
    <x:xf numFmtId="0" fontId="11" fillId="10" borderId="17" xfId="0" applyNumberFormat="1" applyFont="1" applyFill="1" applyBorder="1" applyAlignment="1">
      <x:alignment horizontal="left" wrapText="1"/>
    </x:xf>
    <x:xf numFmtId="0" fontId="11" fillId="10" borderId="10" xfId="0" applyNumberFormat="1" applyFont="1" applyFill="1" applyBorder="1" applyAlignment="1">
      <x:alignment horizontal="left" vertical="center" wrapText="1"/>
    </x:xf>
    <x:xf numFmtId="0" fontId="11" fillId="10" borderId="11" xfId="0" applyNumberFormat="1" applyFont="1" applyFill="1" applyBorder="1" applyAlignment="1">
      <x:alignment horizontal="left" vertical="center" wrapText="1"/>
    </x:xf>
    <x:xf numFmtId="0" fontId="11" fillId="10" borderId="12" xfId="0" applyNumberFormat="1" applyFont="1" applyFill="1" applyBorder="1" applyAlignment="1">
      <x:alignment horizontal="left" vertical="center" wrapText="1"/>
    </x:xf>
    <x:xf numFmtId="0" fontId="11" fillId="10" borderId="13" xfId="0" applyNumberFormat="1" applyFont="1" applyFill="1" applyBorder="1" applyAlignment="1">
      <x:alignment horizontal="left" vertical="center" wrapText="1"/>
    </x:xf>
    <x:xf numFmtId="0" fontId="11" fillId="10" borderId="0" xfId="0" applyNumberFormat="1" applyFont="1" applyFill="1" applyBorder="1" applyAlignment="1">
      <x:alignment horizontal="left" vertical="center" wrapText="1"/>
    </x:xf>
    <x:xf numFmtId="0" fontId="11" fillId="10" borderId="14" xfId="0" applyNumberFormat="1" applyFont="1" applyFill="1" applyBorder="1" applyAlignment="1">
      <x:alignment horizontal="left" vertical="center" wrapText="1"/>
    </x:xf>
    <x:xf numFmtId="0" fontId="11" fillId="10" borderId="15" xfId="0" applyNumberFormat="1" applyFont="1" applyFill="1" applyBorder="1" applyAlignment="1">
      <x:alignment horizontal="left" vertical="center" wrapText="1"/>
    </x:xf>
    <x:xf numFmtId="0" fontId="11" fillId="10" borderId="16" xfId="0" applyNumberFormat="1" applyFont="1" applyFill="1" applyBorder="1" applyAlignment="1">
      <x:alignment horizontal="left" vertical="center" wrapText="1"/>
    </x:xf>
    <x:xf numFmtId="0" fontId="11" fillId="10" borderId="17" xfId="0" applyNumberFormat="1" applyFont="1" applyFill="1" applyBorder="1" applyAlignment="1">
      <x:alignment horizontal="left" vertical="center" wrapText="1"/>
    </x:xf>
    <x:xf numFmtId="0" fontId="11" fillId="3" borderId="10" xfId="0" applyNumberFormat="1" applyFont="1" applyFill="1" applyBorder="1"/>
    <x:xf numFmtId="0" fontId="11" fillId="3" borderId="11" xfId="0" applyNumberFormat="1" applyFont="1" applyFill="1" applyBorder="1"/>
    <x:xf numFmtId="0" fontId="11" fillId="3" borderId="12" xfId="0" applyNumberFormat="1" applyFont="1" applyFill="1" applyBorder="1"/>
    <x:xf numFmtId="0" fontId="11" fillId="3" borderId="13" xfId="0" applyNumberFormat="1" applyFont="1" applyFill="1" applyBorder="1"/>
    <x:xf numFmtId="0" fontId="11" fillId="3" borderId="14" xfId="0" applyNumberFormat="1" applyFont="1" applyFill="1" applyBorder="1"/>
    <x:xf numFmtId="0" fontId="11" fillId="3" borderId="15" xfId="0" applyNumberFormat="1" applyFont="1" applyFill="1" applyBorder="1"/>
    <x:xf numFmtId="0" fontId="11" fillId="3" borderId="16" xfId="0" applyNumberFormat="1" applyFont="1" applyFill="1" applyBorder="1"/>
    <x:xf numFmtId="0" fontId="11" fillId="3" borderId="17" xfId="0" applyNumberFormat="1" applyFont="1" applyFill="1" applyBorder="1"/>
    <x:xf numFmtId="0" fontId="11" fillId="3" borderId="10" xfId="0" applyNumberFormat="1" applyFont="1" applyFill="1" applyBorder="1" applyAlignment="1">
      <x:alignment wrapText="1"/>
    </x:xf>
    <x:xf numFmtId="0" fontId="11" fillId="3" borderId="11" xfId="0" applyNumberFormat="1" applyFont="1" applyFill="1" applyBorder="1" applyAlignment="1">
      <x:alignment wrapText="1"/>
    </x:xf>
    <x:xf numFmtId="0" fontId="11" fillId="3" borderId="12" xfId="0" applyNumberFormat="1" applyFont="1" applyFill="1" applyBorder="1" applyAlignment="1">
      <x:alignment wrapText="1"/>
    </x:xf>
    <x:xf numFmtId="0" fontId="11" fillId="3" borderId="13" xfId="0" applyNumberFormat="1" applyFont="1" applyFill="1" applyBorder="1" applyAlignment="1">
      <x:alignment wrapText="1"/>
    </x:xf>
    <x:xf numFmtId="0" fontId="11" fillId="3" borderId="14" xfId="0" applyNumberFormat="1" applyFont="1" applyFill="1" applyBorder="1" applyAlignment="1">
      <x:alignment wrapText="1"/>
    </x:xf>
    <x:xf numFmtId="0" fontId="11" fillId="3" borderId="15" xfId="0" applyNumberFormat="1" applyFont="1" applyFill="1" applyBorder="1" applyAlignment="1">
      <x:alignment wrapText="1"/>
    </x:xf>
    <x:xf numFmtId="0" fontId="11" fillId="3" borderId="16" xfId="0" applyNumberFormat="1" applyFont="1" applyFill="1" applyBorder="1" applyAlignment="1">
      <x:alignment wrapText="1"/>
    </x:xf>
    <x:xf numFmtId="0" fontId="11" fillId="3" borderId="17" xfId="0" applyNumberFormat="1" applyFont="1" applyFill="1" applyBorder="1" applyAlignment="1">
      <x:alignment wrapText="1"/>
    </x:xf>
    <x:xf numFmtId="0" fontId="11" fillId="3" borderId="10" xfId="0" applyNumberFormat="1" applyFont="1" applyFill="1" applyBorder="1" applyAlignment="1">
      <x:alignment horizontal="left" wrapText="1"/>
    </x:xf>
    <x:xf numFmtId="0" fontId="11" fillId="3" borderId="11" xfId="0" applyNumberFormat="1" applyFont="1" applyFill="1" applyBorder="1" applyAlignment="1">
      <x:alignment horizontal="left" wrapText="1"/>
    </x:xf>
    <x:xf numFmtId="0" fontId="11" fillId="3" borderId="12" xfId="0" applyNumberFormat="1" applyFont="1" applyFill="1" applyBorder="1" applyAlignment="1">
      <x:alignment horizontal="left" wrapText="1"/>
    </x:xf>
    <x:xf numFmtId="0" fontId="11" fillId="3" borderId="13" xfId="0" applyNumberFormat="1" applyFont="1" applyFill="1" applyBorder="1" applyAlignment="1">
      <x:alignment horizontal="left" wrapText="1"/>
    </x:xf>
    <x:xf numFmtId="0" fontId="11" fillId="3" borderId="14" xfId="0" applyNumberFormat="1" applyFont="1" applyFill="1" applyBorder="1" applyAlignment="1">
      <x:alignment horizontal="left" wrapText="1"/>
    </x:xf>
    <x:xf numFmtId="0" fontId="11" fillId="3" borderId="15" xfId="0" applyNumberFormat="1" applyFont="1" applyFill="1" applyBorder="1" applyAlignment="1">
      <x:alignment horizontal="left" wrapText="1"/>
    </x:xf>
    <x:xf numFmtId="0" fontId="11" fillId="3" borderId="16" xfId="0" applyNumberFormat="1" applyFont="1" applyFill="1" applyBorder="1" applyAlignment="1">
      <x:alignment horizontal="left" wrapText="1"/>
    </x:xf>
    <x:xf numFmtId="0" fontId="11" fillId="3" borderId="17" xfId="0" applyNumberFormat="1" applyFont="1" applyFill="1" applyBorder="1" applyAlignment="1">
      <x:alignment horizontal="left" wrapText="1"/>
    </x:xf>
    <x:xf numFmtId="0" fontId="11" fillId="3" borderId="10" xfId="0" applyNumberFormat="1" applyFont="1" applyFill="1" applyBorder="1" applyAlignment="1">
      <x:alignment horizontal="left" vertical="center" wrapText="1"/>
    </x:xf>
    <x:xf numFmtId="0" fontId="11" fillId="3" borderId="11" xfId="0" applyNumberFormat="1" applyFont="1" applyFill="1" applyBorder="1" applyAlignment="1">
      <x:alignment horizontal="left" vertical="center" wrapText="1"/>
    </x:xf>
    <x:xf numFmtId="0" fontId="11" fillId="3" borderId="12" xfId="0" applyNumberFormat="1" applyFont="1" applyFill="1" applyBorder="1" applyAlignment="1">
      <x:alignment horizontal="left" vertical="center" wrapText="1"/>
    </x:xf>
    <x:xf numFmtId="0" fontId="11" fillId="3" borderId="13" xfId="0" applyNumberFormat="1" applyFont="1" applyFill="1" applyBorder="1" applyAlignment="1">
      <x:alignment horizontal="left" vertical="center" wrapText="1"/>
    </x:xf>
    <x:xf numFmtId="0" fontId="11" fillId="3" borderId="14" xfId="0" applyNumberFormat="1" applyFont="1" applyFill="1" applyBorder="1" applyAlignment="1">
      <x:alignment horizontal="left" vertical="center" wrapText="1"/>
    </x:xf>
    <x:xf numFmtId="0" fontId="11" fillId="3" borderId="15" xfId="0" applyNumberFormat="1" applyFont="1" applyFill="1" applyBorder="1" applyAlignment="1">
      <x:alignment horizontal="left" vertical="center" wrapText="1"/>
    </x:xf>
    <x:xf numFmtId="0" fontId="11" fillId="3" borderId="16" xfId="0" applyNumberFormat="1" applyFont="1" applyFill="1" applyBorder="1" applyAlignment="1">
      <x:alignment horizontal="left" vertical="center" wrapText="1"/>
    </x:xf>
    <x:xf numFmtId="0" fontId="11" fillId="3" borderId="17" xfId="0" applyNumberFormat="1" applyFont="1" applyFill="1" applyBorder="1" applyAlignment="1">
      <x:alignment horizontal="left" vertical="center" wrapText="1"/>
    </x:xf>
    <x:xf numFmtId="0" fontId="16" fillId="10" borderId="0" xfId="0" applyNumberFormat="1" applyFont="1" applyFill="1" applyBorder="1"/>
    <x:xf numFmtId="0" fontId="16" fillId="10" borderId="18" xfId="0" applyNumberFormat="1" applyFont="1" applyFill="1" applyBorder="1"/>
    <x:xf numFmtId="0" fontId="16" fillId="10" borderId="19" xfId="0" applyNumberFormat="1" applyFont="1" applyFill="1" applyBorder="1"/>
    <x:xf numFmtId="0" fontId="16" fillId="10" borderId="20" xfId="0" applyNumberFormat="1" applyFont="1" applyFill="1" applyBorder="1"/>
    <x:xf numFmtId="0" fontId="16" fillId="10" borderId="21" xfId="0" applyNumberFormat="1" applyFont="1" applyFill="1" applyBorder="1"/>
    <x:xf numFmtId="0" fontId="16" fillId="10" borderId="22" xfId="0" applyNumberFormat="1" applyFont="1" applyFill="1" applyBorder="1"/>
    <x:xf numFmtId="0" fontId="16" fillId="10" borderId="23" xfId="0" applyNumberFormat="1" applyFont="1" applyFill="1" applyBorder="1"/>
    <x:xf numFmtId="0" fontId="16" fillId="10" borderId="24" xfId="0" applyNumberFormat="1" applyFont="1" applyFill="1" applyBorder="1"/>
    <x:xf numFmtId="0" fontId="16" fillId="10" borderId="25" xfId="0" applyNumberFormat="1" applyFont="1" applyFill="1" applyBorder="1"/>
    <x:xf numFmtId="0" fontId="16" fillId="10" borderId="18" xfId="0" applyNumberFormat="1" applyFont="1" applyFill="1" applyBorder="1" applyAlignment="1">
      <x:alignment wrapText="1"/>
    </x:xf>
    <x:xf numFmtId="0" fontId="16" fillId="10" borderId="19" xfId="0" applyNumberFormat="1" applyFont="1" applyFill="1" applyBorder="1" applyAlignment="1">
      <x:alignment wrapText="1"/>
    </x:xf>
    <x:xf numFmtId="0" fontId="16" fillId="10" borderId="20" xfId="0" applyNumberFormat="1" applyFont="1" applyFill="1" applyBorder="1" applyAlignment="1">
      <x:alignment wrapText="1"/>
    </x:xf>
    <x:xf numFmtId="0" fontId="16" fillId="10" borderId="21" xfId="0" applyNumberFormat="1" applyFont="1" applyFill="1" applyBorder="1" applyAlignment="1">
      <x:alignment wrapText="1"/>
    </x:xf>
    <x:xf numFmtId="0" fontId="16" fillId="10" borderId="0" xfId="0" applyNumberFormat="1" applyFont="1" applyFill="1" applyBorder="1" applyAlignment="1">
      <x:alignment wrapText="1"/>
    </x:xf>
    <x:xf numFmtId="0" fontId="16" fillId="10" borderId="22" xfId="0" applyNumberFormat="1" applyFont="1" applyFill="1" applyBorder="1" applyAlignment="1">
      <x:alignment wrapText="1"/>
    </x:xf>
    <x:xf numFmtId="0" fontId="16" fillId="10" borderId="23" xfId="0" applyNumberFormat="1" applyFont="1" applyFill="1" applyBorder="1" applyAlignment="1">
      <x:alignment wrapText="1"/>
    </x:xf>
    <x:xf numFmtId="0" fontId="16" fillId="10" borderId="24" xfId="0" applyNumberFormat="1" applyFont="1" applyFill="1" applyBorder="1" applyAlignment="1">
      <x:alignment wrapText="1"/>
    </x:xf>
    <x:xf numFmtId="0" fontId="16" fillId="10" borderId="25" xfId="0" applyNumberFormat="1" applyFont="1" applyFill="1" applyBorder="1" applyAlignment="1">
      <x:alignment wrapText="1"/>
    </x:xf>
    <x:xf numFmtId="0" fontId="16" fillId="10" borderId="18" xfId="0" applyNumberFormat="1" applyFont="1" applyFill="1" applyBorder="1" applyAlignment="1">
      <x:alignment horizontal="left" wrapText="1"/>
    </x:xf>
    <x:xf numFmtId="0" fontId="16" fillId="10" borderId="19" xfId="0" applyNumberFormat="1" applyFont="1" applyFill="1" applyBorder="1" applyAlignment="1">
      <x:alignment horizontal="left" wrapText="1"/>
    </x:xf>
    <x:xf numFmtId="0" fontId="16" fillId="10" borderId="20" xfId="0" applyNumberFormat="1" applyFont="1" applyFill="1" applyBorder="1" applyAlignment="1">
      <x:alignment horizontal="left" wrapText="1"/>
    </x:xf>
    <x:xf numFmtId="0" fontId="16" fillId="10" borderId="21" xfId="0" applyNumberFormat="1" applyFont="1" applyFill="1" applyBorder="1" applyAlignment="1">
      <x:alignment horizontal="left" wrapText="1"/>
    </x:xf>
    <x:xf numFmtId="0" fontId="16" fillId="10" borderId="0" xfId="0" applyNumberFormat="1" applyFont="1" applyFill="1" applyBorder="1" applyAlignment="1">
      <x:alignment horizontal="left" wrapText="1"/>
    </x:xf>
    <x:xf numFmtId="0" fontId="16" fillId="10" borderId="22" xfId="0" applyNumberFormat="1" applyFont="1" applyFill="1" applyBorder="1" applyAlignment="1">
      <x:alignment horizontal="left" wrapText="1"/>
    </x:xf>
    <x:xf numFmtId="0" fontId="16" fillId="10" borderId="23" xfId="0" applyNumberFormat="1" applyFont="1" applyFill="1" applyBorder="1" applyAlignment="1">
      <x:alignment horizontal="left" wrapText="1"/>
    </x:xf>
    <x:xf numFmtId="0" fontId="16" fillId="10" borderId="24" xfId="0" applyNumberFormat="1" applyFont="1" applyFill="1" applyBorder="1" applyAlignment="1">
      <x:alignment horizontal="left" wrapText="1"/>
    </x:xf>
    <x:xf numFmtId="0" fontId="16" fillId="10" borderId="25" xfId="0" applyNumberFormat="1" applyFont="1" applyFill="1" applyBorder="1" applyAlignment="1">
      <x:alignment horizontal="left" wrapText="1"/>
    </x:xf>
    <x:xf numFmtId="0" fontId="16" fillId="10" borderId="18" xfId="0" applyNumberFormat="1" applyFont="1" applyFill="1" applyBorder="1" applyAlignment="1">
      <x:alignment horizontal="left" vertical="center" wrapText="1"/>
    </x:xf>
    <x:xf numFmtId="0" fontId="16" fillId="10" borderId="19" xfId="0" applyNumberFormat="1" applyFont="1" applyFill="1" applyBorder="1" applyAlignment="1">
      <x:alignment horizontal="left" vertical="center" wrapText="1"/>
    </x:xf>
    <x:xf numFmtId="0" fontId="16" fillId="10" borderId="20" xfId="0" applyNumberFormat="1" applyFont="1" applyFill="1" applyBorder="1" applyAlignment="1">
      <x:alignment horizontal="left" vertical="center" wrapText="1"/>
    </x:xf>
    <x:xf numFmtId="0" fontId="16" fillId="10" borderId="21" xfId="0" applyNumberFormat="1" applyFont="1" applyFill="1" applyBorder="1" applyAlignment="1">
      <x:alignment horizontal="left" vertical="center" wrapText="1"/>
    </x:xf>
    <x:xf numFmtId="0" fontId="16" fillId="10" borderId="0" xfId="0" applyNumberFormat="1" applyFont="1" applyFill="1" applyBorder="1" applyAlignment="1">
      <x:alignment horizontal="left" vertical="center" wrapText="1"/>
    </x:xf>
    <x:xf numFmtId="0" fontId="16" fillId="10" borderId="22" xfId="0" applyNumberFormat="1" applyFont="1" applyFill="1" applyBorder="1" applyAlignment="1">
      <x:alignment horizontal="left" vertical="center" wrapText="1"/>
    </x:xf>
    <x:xf numFmtId="0" fontId="16" fillId="10" borderId="23" xfId="0" applyNumberFormat="1" applyFont="1" applyFill="1" applyBorder="1" applyAlignment="1">
      <x:alignment horizontal="left" vertical="center" wrapText="1"/>
    </x:xf>
    <x:xf numFmtId="0" fontId="16" fillId="10" borderId="24" xfId="0" applyNumberFormat="1" applyFont="1" applyFill="1" applyBorder="1" applyAlignment="1">
      <x:alignment horizontal="left" vertical="center" wrapText="1"/>
    </x:xf>
    <x:xf numFmtId="0" fontId="16" fillId="10" borderId="2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c7282336974022" /><Relationship Type="http://schemas.openxmlformats.org/officeDocument/2006/relationships/theme" Target="/xl/theme/theme1.xml" Id="Re1e6f078e11b4f54" /><Relationship Type="http://schemas.openxmlformats.org/officeDocument/2006/relationships/sharedStrings" Target="/xl/sharedStrings.xml" Id="R6e1bdf9b85d44545" /><Relationship Type="http://schemas.openxmlformats.org/officeDocument/2006/relationships/worksheet" Target="/xl/worksheets/sheet1.xml" Id="Rcdbbbefe0ef949d0" /><Relationship Type="http://schemas.openxmlformats.org/officeDocument/2006/relationships/worksheet" Target="/xl/worksheets/sheet2.xml" Id="R3cea5102323042ad" /><Relationship Type="http://schemas.openxmlformats.org/officeDocument/2006/relationships/worksheet" Target="/xl/worksheets/sheet3.xml" Id="Rcbaf7af3fe624144" /><Relationship Type="http://schemas.openxmlformats.org/officeDocument/2006/relationships/worksheet" Target="/xl/worksheets/sheet4.xml" Id="R8ea7c5ac9452432e" /><Relationship Type="http://schemas.openxmlformats.org/officeDocument/2006/relationships/worksheet" Target="/xl/worksheets/sheet5.xml" Id="Rf43836710efa4f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30b87c5ed0141b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事例数（分類別）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事例数</c:v>
          </c:tx>
          <c:cat>
            <c:strRef>
              <c:f>'概要'!$A$13:$A$15</c:f>
              <c:strCache>
                <c:ptCount val="0"/>
              </c:strCache>
            </c:strRef>
          </c:cat>
          <c:val>
            <c:numRef>
              <c:f>'概要'!$B$13:$B$15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  <c:max val="9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0b87c5ed0141b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sesTable" displayName="CasesTable" ref="A5:P18" headerRowCount="1" totalsRowCount="0" totalsRowShown="0">
  <x:autoFilter ref="A5:P18"/>
  <x:tableColumns count="16">
    <x:tableColumn id="1" name="No."/>
    <x:tableColumn id="2" name="分類"/>
    <x:tableColumn id="3" name="事例"/>
    <x:tableColumn id="4" name="発注企業／業界"/>
    <x:tableColumn id="5" name="発注国・市場"/>
    <x:tableColumn id="6" name="実行国・地域"/>
    <x:tableColumn id="7" name="オフショア形態"/>
    <x:tableColumn id="8" name="受託業務"/>
    <x:tableColumn id="9" name="AIの担当"/>
    <x:tableColumn id="10" name="人間の担当"/>
    <x:tableColumn id="11" name="公表成果"/>
    <x:tableColumn id="12" name="戦略的意味"/>
    <x:tableColumn id="13" name="証拠"/>
    <x:tableColumn id="14" name="出典URL 1"/>
    <x:tableColumn id="15" name="出典URL 2"/>
    <x:tableColumn id="16" name="注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untryTable" displayName="CountryTable" ref="A5:I10" headerRowCount="1" totalsRowCount="0" totalsRowShown="0">
  <x:tableColumns count="9">
    <x:tableColumn id="1" name="国・地域"/>
    <x:tableColumn id="2" name="主な役割"/>
    <x:tableColumn id="3" name="典型的発注元"/>
    <x:tableColumn id="4" name="AIが加える効果"/>
    <x:tableColumn id="5" name="強み"/>
    <x:tableColumn id="6" name="主なリスク"/>
    <x:tableColumn id="7" name="代表事例"/>
    <x:tableColumn id="8" name="該当事例数"/>
    <x:tableColumn id="9" name="日本への示唆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ImagePlanTable" displayName="ImagePlanTable" ref="A5:G16" headerRowCount="1" totalsRowCount="0" totalsRowShown="0">
  <x:tableColumns count="7">
    <x:tableColumn id="1" name="No."/>
    <x:tableColumn id="2" name="ファイル"/>
    <x:tableColumn id="3" name="タイトル"/>
    <x:tableColumn id="4" name="目的"/>
    <x:tableColumn id="5" name="収録事例"/>
    <x:tableColumn id="6" name="キーメッセージ"/>
    <x:tableColumn id="7" name="主な出典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Table" displayName="SourceTable" ref="A5:H25" headerRowCount="1" totalsRowCount="0" totalsRowShown="0">
  <x:tableColumns count="8">
    <x:tableColumn id="1" name="No."/>
    <x:tableColumn id="2" name="発行元"/>
    <x:tableColumn id="3" name="種別"/>
    <x:tableColumn id="4" name="URL"/>
    <x:tableColumn id="5" name="裏付ける事実"/>
    <x:tableColumn id="6" name="対象事例"/>
    <x:tableColumn id="7" name="閲覧日"/>
    <x:tableColumn id="8" name="注記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b56f5911d1473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91785fd8ae43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f5ed2219824e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8eb48d503b4c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8cceb670fa48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5" hidden="0" customWidth="1"/>
    <x:col min="4" max="4" width="5" hidden="0" customWidth="1"/>
    <x:col min="5" max="5" width="16" hidden="0" customWidth="1"/>
    <x:col min="6" max="6" width="16" hidden="0" customWidth="1"/>
    <x:col min="7" max="7" width="16" hidden="0" customWidth="1"/>
    <x:col min="8" max="8" width="6" hidden="0" customWidth="1"/>
    <x:col min="9" max="9" width="16" hidden="0" customWidth="1"/>
    <x:col min="10" max="10" width="16" hidden="0" customWidth="1"/>
    <x:col min="11" max="11" width="16" hidden="0" customWidth="1"/>
    <x:col min="12" max="12" width="5" hidden="0" customWidth="1"/>
    <x:col min="13" max="13" width="5" hidden="0" customWidth="1"/>
  </x:cols>
  <x:sheetData>
    <x:row r="1">
      <x:c r="A1" s="5" t="str">
        <x:v>AI×BPO グローバル事例集｜2026</x:v>
      </x:c>
      <x:c r="B1" s="5" t="str">
        <x:v>AI×BPO グローバル事例集｜2026</x:v>
      </x:c>
      <x:c r="C1" s="5" t="str">
        <x:v>AI×BPO グローバル事例集｜2026</x:v>
      </x:c>
      <x:c r="D1" s="5" t="str">
        <x:v>AI×BPO グローバル事例集｜2026</x:v>
      </x:c>
      <x:c r="E1" s="5" t="str">
        <x:v>AI×BPO グローバル事例集｜2026</x:v>
      </x:c>
      <x:c r="F1" s="5" t="str">
        <x:v>AI×BPO グローバル事例集｜2026</x:v>
      </x:c>
      <x:c r="G1" s="5" t="str">
        <x:v>AI×BPO グローバル事例集｜2026</x:v>
      </x:c>
      <x:c r="H1" s="5" t="str">
        <x:v>AI×BPO グローバル事例集｜2026</x:v>
      </x:c>
      <x:c r="I1" s="5" t="str">
        <x:v>AI×BPO グローバル事例集｜2026</x:v>
      </x:c>
      <x:c r="J1" s="5" t="str">
        <x:v>AI×BPO グローバル事例集｜2026</x:v>
      </x:c>
      <x:c r="K1" s="5" t="str">
        <x:v>AI×BPO グローバル事例集｜2026</x:v>
      </x:c>
      <x:c r="L1" s="5" t="str">
        <x:v>AI×BPO グローバル事例集｜2026</x:v>
      </x:c>
      <x:c r="M1" s="5" t="str">
        <x:v>AI×BPO グローバル事例集｜2026</x:v>
      </x:c>
    </x:row>
    <x:row r="2">
      <x:c r="A2" s="5" t="str">
        <x:v>AI×BPO グローバル事例集｜2026</x:v>
      </x:c>
      <x:c r="B2" s="5" t="str">
        <x:v>AI×BPO グローバル事例集｜2026</x:v>
      </x:c>
      <x:c r="C2" s="5" t="str">
        <x:v>AI×BPO グローバル事例集｜2026</x:v>
      </x:c>
      <x:c r="D2" s="5" t="str">
        <x:v>AI×BPO グローバル事例集｜2026</x:v>
      </x:c>
      <x:c r="E2" s="5" t="str">
        <x:v>AI×BPO グローバル事例集｜2026</x:v>
      </x:c>
      <x:c r="F2" s="5" t="str">
        <x:v>AI×BPO グローバル事例集｜2026</x:v>
      </x:c>
      <x:c r="G2" s="5" t="str">
        <x:v>AI×BPO グローバル事例集｜2026</x:v>
      </x:c>
      <x:c r="H2" s="5" t="str">
        <x:v>AI×BPO グローバル事例集｜2026</x:v>
      </x:c>
      <x:c r="I2" s="5" t="str">
        <x:v>AI×BPO グローバル事例集｜2026</x:v>
      </x:c>
      <x:c r="J2" s="5" t="str">
        <x:v>AI×BPO グローバル事例集｜2026</x:v>
      </x:c>
      <x:c r="K2" s="5" t="str">
        <x:v>AI×BPO グローバル事例集｜2026</x:v>
      </x:c>
      <x:c r="L2" s="5" t="str">
        <x:v>AI×BPO グローバル事例集｜2026</x:v>
      </x:c>
      <x:c r="M2" s="5" t="str">
        <x:v>AI×BPO グローバル事例集｜2026</x:v>
      </x:c>
    </x:row>
    <x:row r="3">
      <x:c r="A3" s="50" t="str">
        <x:v>AIはBPOを一律に消すのではなく、①既存BPOを高度化、②AIを作る新BPOを創出、③定型BPO発注を削減する。13事例を国・業務・成果・出典で整理。</x:v>
      </x:c>
      <x:c r="B3" s="50" t="str">
        <x:v>AIはBPOを一律に消すのではなく、①既存BPOを高度化、②AIを作る新BPOを創出、③定型BPO発注を削減する。13事例を国・業務・成果・出典で整理。</x:v>
      </x:c>
      <x:c r="C3" s="50" t="str">
        <x:v>AIはBPOを一律に消すのではなく、①既存BPOを高度化、②AIを作る新BPOを創出、③定型BPO発注を削減する。13事例を国・業務・成果・出典で整理。</x:v>
      </x:c>
      <x:c r="D3" s="50" t="str">
        <x:v>AIはBPOを一律に消すのではなく、①既存BPOを高度化、②AIを作る新BPOを創出、③定型BPO発注を削減する。13事例を国・業務・成果・出典で整理。</x:v>
      </x:c>
      <x:c r="E3" s="50" t="str">
        <x:v>AIはBPOを一律に消すのではなく、①既存BPOを高度化、②AIを作る新BPOを創出、③定型BPO発注を削減する。13事例を国・業務・成果・出典で整理。</x:v>
      </x:c>
      <x:c r="F3" s="50" t="str">
        <x:v>AIはBPOを一律に消すのではなく、①既存BPOを高度化、②AIを作る新BPOを創出、③定型BPO発注を削減する。13事例を国・業務・成果・出典で整理。</x:v>
      </x:c>
      <x:c r="G3" s="50" t="str">
        <x:v>AIはBPOを一律に消すのではなく、①既存BPOを高度化、②AIを作る新BPOを創出、③定型BPO発注を削減する。13事例を国・業務・成果・出典で整理。</x:v>
      </x:c>
      <x:c r="H3" s="50" t="str">
        <x:v>AIはBPOを一律に消すのではなく、①既存BPOを高度化、②AIを作る新BPOを創出、③定型BPO発注を削減する。13事例を国・業務・成果・出典で整理。</x:v>
      </x:c>
      <x:c r="I3" s="50" t="str">
        <x:v>AIはBPOを一律に消すのではなく、①既存BPOを高度化、②AIを作る新BPOを創出、③定型BPO発注を削減する。13事例を国・業務・成果・出典で整理。</x:v>
      </x:c>
      <x:c r="J3" s="50" t="str">
        <x:v>AIはBPOを一律に消すのではなく、①既存BPOを高度化、②AIを作る新BPOを創出、③定型BPO発注を削減する。13事例を国・業務・成果・出典で整理。</x:v>
      </x:c>
      <x:c r="K3" s="50" t="str">
        <x:v>AIはBPOを一律に消すのではなく、①既存BPOを高度化、②AIを作る新BPOを創出、③定型BPO発注を削減する。13事例を国・業務・成果・出典で整理。</x:v>
      </x:c>
      <x:c r="L3" s="50" t="str">
        <x:v>AIはBPOを一律に消すのではなく、①既存BPOを高度化、②AIを作る新BPOを創出、③定型BPO発注を削減する。13事例を国・業務・成果・出典で整理。</x:v>
      </x:c>
      <x:c r="M3" s="50" t="str">
        <x:v>AIはBPOを一律に消すのではなく、①既存BPOを高度化、②AIを作る新BPOを創出、③定型BPO発注を削減する。13事例を国・業務・成果・出典で整理。</x:v>
      </x:c>
    </x:row>
    <x:row r="5">
      <x:c r="A5" s="34" t="str">
        <x:v>収集事例数</x:v>
      </x:c>
      <x:c r="B5" s="34" t="str">
        <x:v>収集事例数</x:v>
      </x:c>
      <x:c r="C5" s="34" t="str">
        <x:v>収集事例数</x:v>
      </x:c>
      <x:c r="E5" s="34" t="str">
        <x:v>分析モデル</x:v>
      </x:c>
      <x:c r="F5" s="34" t="str">
        <x:v>分析モデル</x:v>
      </x:c>
      <x:c r="G5" s="34" t="str">
        <x:v>分析モデル</x:v>
      </x:c>
      <x:c r="I5" s="34" t="str">
        <x:v>主要実行地域</x:v>
      </x:c>
      <x:c r="J5" s="34" t="str">
        <x:v>主要実行地域</x:v>
      </x:c>
      <x:c r="K5" s="34" t="str">
        <x:v>主要実行地域</x:v>
      </x:c>
    </x:row>
    <x:row r="6">
      <x:c r="A6" s="70" t="n">
        <x:f>COUNT('事例一覧'!$A$6:$A$18)</x:f>
        <x:v>13</x:v>
      </x:c>
      <x:c r="B6" s="71"/>
      <x:c r="C6" s="72"/>
      <x:c r="E6" s="97" t="n">
        <x:f>COUNTA($A$13:$A$15)</x:f>
        <x:v>3</x:v>
      </x:c>
      <x:c r="F6" s="98"/>
      <x:c r="G6" s="99"/>
      <x:c r="I6" s="70" t="n">
        <x:f>COUNTA('国別整理'!$A$6:$A$10)</x:f>
        <x:v>5</x:v>
      </x:c>
      <x:c r="J6" s="71"/>
      <x:c r="K6" s="72"/>
    </x:row>
    <x:row r="7">
      <x:c r="A7" s="73"/>
      <x:c r="B7" s="74"/>
      <x:c r="C7" s="75"/>
      <x:c r="E7" s="100"/>
      <x:c r="F7" s="101"/>
      <x:c r="G7" s="102"/>
      <x:c r="I7" s="73"/>
      <x:c r="J7" s="74"/>
      <x:c r="K7" s="75"/>
    </x:row>
    <x:row r="8">
      <x:c r="A8" s="76"/>
      <x:c r="B8" s="77"/>
      <x:c r="C8" s="78"/>
      <x:c r="E8" s="103"/>
      <x:c r="F8" s="104"/>
      <x:c r="G8" s="105"/>
      <x:c r="I8" s="76"/>
      <x:c r="J8" s="77"/>
      <x:c r="K8" s="78"/>
    </x:row>
    <x:row r="12">
      <x:c r="A12" s="16" t="str">
        <x:v>分類</x:v>
      </x:c>
      <x:c r="B12" s="16" t="str">
        <x:v>事例数</x:v>
      </x:c>
    </x:row>
    <x:row r="13" ht="34" customHeight="1">
      <x:c r="A13" s="110" t="str">
        <x:v>既存BPOの高度化</x:v>
      </x:c>
      <x:c r="B13" s="114" t="n">
        <x:f>COUNTIF('事例一覧'!$B$6:$B$18,A13)</x:f>
        <x:v>8</x:v>
      </x:c>
    </x:row>
    <x:row r="14" ht="34" customHeight="1">
      <x:c r="A14" s="110" t="str">
        <x:v>AIを作るBPO</x:v>
      </x:c>
      <x:c r="B14" s="114" t="n">
        <x:f>COUNTIF('事例一覧'!$B$6:$B$18,A14)</x:f>
        <x:v>4</x:v>
      </x:c>
    </x:row>
    <x:row r="15" ht="34" customHeight="1">
      <x:c r="A15" s="110" t="str">
        <x:v>AIがBPOを削減</x:v>
      </x:c>
      <x:c r="B15" s="114" t="n">
        <x:f>COUNTIF('事例一覧'!$B$6:$B$18,A15)</x:f>
        <x:v>1</x:v>
      </x:c>
    </x:row>
    <x:row r="27">
      <x:c r="A27" s="34" t="str">
        <x:v>この事例集から読み取れること</x:v>
      </x:c>
      <x:c r="B27" s="34" t="str">
        <x:v>この事例集から読み取れること</x:v>
      </x:c>
      <x:c r="C27" s="34" t="str">
        <x:v>この事例集から読み取れること</x:v>
      </x:c>
      <x:c r="D27" s="34" t="str">
        <x:v>この事例集から読み取れること</x:v>
      </x:c>
      <x:c r="E27" s="34" t="str">
        <x:v>この事例集から読み取れること</x:v>
      </x:c>
      <x:c r="F27" s="34" t="str">
        <x:v>この事例集から読み取れること</x:v>
      </x:c>
      <x:c r="G27" s="34" t="str">
        <x:v>この事例集から読み取れること</x:v>
      </x:c>
      <x:c r="H27" s="34" t="str">
        <x:v>この事例集から読み取れること</x:v>
      </x:c>
      <x:c r="I27" s="34" t="str">
        <x:v>この事例集から読み取れること</x:v>
      </x:c>
      <x:c r="J27" s="34" t="str">
        <x:v>この事例集から読み取れること</x:v>
      </x:c>
      <x:c r="K27" s="34" t="str">
        <x:v>この事例集から読み取れること</x:v>
      </x:c>
      <x:c r="L27" s="34" t="str">
        <x:v>この事例集から読み取れること</x:v>
      </x:c>
      <x:c r="M27" s="34" t="str">
        <x:v>この事例集から読み取れること</x:v>
      </x:c>
    </x:row>
    <x:row r="28">
      <x:c r="A28" s="143" t="str">
        <x:v>1｜海外人材の「仕事の上限」が上がる
AIが翻訳・検索・要約・監視を補い、同じ人材プールで扱える量と難度が上がる。低コストだけでなく、技術人材・業界知識・時差が競争力になる。</x:v>
      </x:c>
      <x:c r="B28" s="144" t="str">
        <x:v>1｜海外人材の「仕事の上限」が上がる
AIが翻訳・検索・要約・監視を補い、同じ人材プールで扱える量と難度が上がる。低コストだけでなく、技術人材・業界知識・時差が競争力になる。</x:v>
      </x:c>
      <x:c r="C28" s="144" t="str">
        <x:v>1｜海外人材の「仕事の上限」が上がる
AIが翻訳・検索・要約・監視を補い、同じ人材プールで扱える量と難度が上がる。低コストだけでなく、技術人材・業界知識・時差が競争力になる。</x:v>
      </x:c>
      <x:c r="D28" s="145" t="str">
        <x:v>1｜海外人材の「仕事の上限」が上がる
AIが翻訳・検索・要約・監視を補い、同じ人材プールで扱える量と難度が上がる。低コストだけでなく、技術人材・業界知識・時差が競争力になる。</x:v>
      </x:c>
      <x:c r="E28" s="179" t="str">
        <x:v>2｜人は例外・判断・責任へ
定型処理はAIへ移る一方、医療判断、本人確認、不正利用、説得、品質保証、AI改善は人が担う。人員数ではなく成果・精度・リスクで売る必要がある。</x:v>
      </x:c>
      <x:c r="F28" s="180" t="str">
        <x:v>2｜人は例外・判断・責任へ
定型処理はAIへ移る一方、医療判断、本人確認、不正利用、説得、品質保証、AI改善は人が担う。人員数ではなく成果・精度・リスクで売る必要がある。</x:v>
      </x:c>
      <x:c r="G28" s="180" t="str">
        <x:v>2｜人は例外・判断・責任へ
定型処理はAIへ移る一方、医療判断、本人確認、不正利用、説得、品質保証、AI改善は人が担う。人員数ではなく成果・精度・リスクで売る必要がある。</x:v>
      </x:c>
      <x:c r="H28" s="181" t="str">
        <x:v>2｜人は例外・判断・責任へ
定型処理はAIへ移る一方、医療判断、本人確認、不正利用、説得、品質保証、AI改善は人が担う。人員数ではなく成果・精度・リスクで売る必要がある。</x:v>
      </x:c>
      <x:c r="I28" s="212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  <x:c r="J28" s="213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  <x:c r="K28" s="213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  <x:c r="L28" s="213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  <x:c r="M28" s="214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</x:row>
    <x:row r="29">
      <x:c r="A29" s="146" t="str">
        <x:v>1｜海外人材の「仕事の上限」が上がる
AIが翻訳・検索・要約・監視を補い、同じ人材プールで扱える量と難度が上がる。低コストだけでなく、技術人材・業界知識・時差が競争力になる。</x:v>
      </x:c>
      <x:c r="B29" s="147" t="str">
        <x:v>1｜海外人材の「仕事の上限」が上がる
AIが翻訳・検索・要約・監視を補い、同じ人材プールで扱える量と難度が上がる。低コストだけでなく、技術人材・業界知識・時差が競争力になる。</x:v>
      </x:c>
      <x:c r="C29" s="147" t="str">
        <x:v>1｜海外人材の「仕事の上限」が上がる
AIが翻訳・検索・要約・監視を補い、同じ人材プールで扱える量と難度が上がる。低コストだけでなく、技術人材・業界知識・時差が競争力になる。</x:v>
      </x:c>
      <x:c r="D29" s="148" t="str">
        <x:v>1｜海外人材の「仕事の上限」が上がる
AIが翻訳・検索・要約・監視を補い、同じ人材プールで扱える量と難度が上がる。低コストだけでなく、技術人材・業界知識・時差が競争力になる。</x:v>
      </x:c>
      <x:c r="E29" s="182" t="str">
        <x:v>2｜人は例外・判断・責任へ
定型処理はAIへ移る一方、医療判断、本人確認、不正利用、説得、品質保証、AI改善は人が担う。人員数ではなく成果・精度・リスクで売る必要がある。</x:v>
      </x:c>
      <x:c r="F29" s="183" t="str">
        <x:v>2｜人は例外・判断・責任へ
定型処理はAIへ移る一方、医療判断、本人確認、不正利用、説得、品質保証、AI改善は人が担う。人員数ではなく成果・精度・リスクで売る必要がある。</x:v>
      </x:c>
      <x:c r="G29" s="183" t="str">
        <x:v>2｜人は例外・判断・責任へ
定型処理はAIへ移る一方、医療判断、本人確認、不正利用、説得、品質保証、AI改善は人が担う。人員数ではなく成果・精度・リスクで売る必要がある。</x:v>
      </x:c>
      <x:c r="H29" s="184" t="str">
        <x:v>2｜人は例外・判断・責任へ
定型処理はAIへ移る一方、医療判断、本人確認、不正利用、説得、品質保証、AI改善は人が担う。人員数ではなく成果・精度・リスクで売る必要がある。</x:v>
      </x:c>
      <x:c r="I29" s="215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  <x:c r="J29" s="50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  <x:c r="K29" s="50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  <x:c r="L29" s="50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  <x:c r="M29" s="216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</x:row>
    <x:row r="30">
      <x:c r="A30" s="146" t="str">
        <x:v>1｜海外人材の「仕事の上限」が上がる
AIが翻訳・検索・要約・監視を補い、同じ人材プールで扱える量と難度が上がる。低コストだけでなく、技術人材・業界知識・時差が競争力になる。</x:v>
      </x:c>
      <x:c r="B30" s="147" t="str">
        <x:v>1｜海外人材の「仕事の上限」が上がる
AIが翻訳・検索・要約・監視を補い、同じ人材プールで扱える量と難度が上がる。低コストだけでなく、技術人材・業界知識・時差が競争力になる。</x:v>
      </x:c>
      <x:c r="C30" s="147" t="str">
        <x:v>1｜海外人材の「仕事の上限」が上がる
AIが翻訳・検索・要約・監視を補い、同じ人材プールで扱える量と難度が上がる。低コストだけでなく、技術人材・業界知識・時差が競争力になる。</x:v>
      </x:c>
      <x:c r="D30" s="148" t="str">
        <x:v>1｜海外人材の「仕事の上限」が上がる
AIが翻訳・検索・要約・監視を補い、同じ人材プールで扱える量と難度が上がる。低コストだけでなく、技術人材・業界知識・時差が競争力になる。</x:v>
      </x:c>
      <x:c r="E30" s="182" t="str">
        <x:v>2｜人は例外・判断・責任へ
定型処理はAIへ移る一方、医療判断、本人確認、不正利用、説得、品質保証、AI改善は人が担う。人員数ではなく成果・精度・リスクで売る必要がある。</x:v>
      </x:c>
      <x:c r="F30" s="183" t="str">
        <x:v>2｜人は例外・判断・責任へ
定型処理はAIへ移る一方、医療判断、本人確認、不正利用、説得、品質保証、AI改善は人が担う。人員数ではなく成果・精度・リスクで売る必要がある。</x:v>
      </x:c>
      <x:c r="G30" s="183" t="str">
        <x:v>2｜人は例外・判断・責任へ
定型処理はAIへ移る一方、医療判断、本人確認、不正利用、説得、品質保証、AI改善は人が担う。人員数ではなく成果・精度・リスクで売る必要がある。</x:v>
      </x:c>
      <x:c r="H30" s="184" t="str">
        <x:v>2｜人は例外・判断・責任へ
定型処理はAIへ移る一方、医療判断、本人確認、不正利用、説得、品質保証、AI改善は人が担う。人員数ではなく成果・精度・リスクで売る必要がある。</x:v>
      </x:c>
      <x:c r="I30" s="215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  <x:c r="J30" s="50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  <x:c r="K30" s="50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  <x:c r="L30" s="50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  <x:c r="M30" s="216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</x:row>
    <x:row r="31">
      <x:c r="A31" s="146" t="str">
        <x:v>1｜海外人材の「仕事の上限」が上がる
AIが翻訳・検索・要約・監視を補い、同じ人材プールで扱える量と難度が上がる。低コストだけでなく、技術人材・業界知識・時差が競争力になる。</x:v>
      </x:c>
      <x:c r="B31" s="147" t="str">
        <x:v>1｜海外人材の「仕事の上限」が上がる
AIが翻訳・検索・要約・監視を補い、同じ人材プールで扱える量と難度が上がる。低コストだけでなく、技術人材・業界知識・時差が競争力になる。</x:v>
      </x:c>
      <x:c r="C31" s="147" t="str">
        <x:v>1｜海外人材の「仕事の上限」が上がる
AIが翻訳・検索・要約・監視を補い、同じ人材プールで扱える量と難度が上がる。低コストだけでなく、技術人材・業界知識・時差が競争力になる。</x:v>
      </x:c>
      <x:c r="D31" s="148" t="str">
        <x:v>1｜海外人材の「仕事の上限」が上がる
AIが翻訳・検索・要約・監視を補い、同じ人材プールで扱える量と難度が上がる。低コストだけでなく、技術人材・業界知識・時差が競争力になる。</x:v>
      </x:c>
      <x:c r="E31" s="182" t="str">
        <x:v>2｜人は例外・判断・責任へ
定型処理はAIへ移る一方、医療判断、本人確認、不正利用、説得、品質保証、AI改善は人が担う。人員数ではなく成果・精度・リスクで売る必要がある。</x:v>
      </x:c>
      <x:c r="F31" s="183" t="str">
        <x:v>2｜人は例外・判断・責任へ
定型処理はAIへ移る一方、医療判断、本人確認、不正利用、説得、品質保証、AI改善は人が担う。人員数ではなく成果・精度・リスクで売る必要がある。</x:v>
      </x:c>
      <x:c r="G31" s="183" t="str">
        <x:v>2｜人は例外・判断・責任へ
定型処理はAIへ移る一方、医療判断、本人確認、不正利用、説得、品質保証、AI改善は人が担う。人員数ではなく成果・精度・リスクで売る必要がある。</x:v>
      </x:c>
      <x:c r="H31" s="184" t="str">
        <x:v>2｜人は例外・判断・責任へ
定型処理はAIへ移る一方、医療判断、本人確認、不正利用、説得、品質保証、AI改善は人が担う。人員数ではなく成果・精度・リスクで売る必要がある。</x:v>
      </x:c>
      <x:c r="I31" s="215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  <x:c r="J31" s="50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  <x:c r="K31" s="50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  <x:c r="L31" s="50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  <x:c r="M31" s="216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</x:row>
    <x:row r="32">
      <x:c r="A32" s="146" t="str">
        <x:v>1｜海外人材の「仕事の上限」が上がる
AIが翻訳・検索・要約・監視を補い、同じ人材プールで扱える量と難度が上がる。低コストだけでなく、技術人材・業界知識・時差が競争力になる。</x:v>
      </x:c>
      <x:c r="B32" s="147" t="str">
        <x:v>1｜海外人材の「仕事の上限」が上がる
AIが翻訳・検索・要約・監視を補い、同じ人材プールで扱える量と難度が上がる。低コストだけでなく、技術人材・業界知識・時差が競争力になる。</x:v>
      </x:c>
      <x:c r="C32" s="147" t="str">
        <x:v>1｜海外人材の「仕事の上限」が上がる
AIが翻訳・検索・要約・監視を補い、同じ人材プールで扱える量と難度が上がる。低コストだけでなく、技術人材・業界知識・時差が競争力になる。</x:v>
      </x:c>
      <x:c r="D32" s="148" t="str">
        <x:v>1｜海外人材の「仕事の上限」が上がる
AIが翻訳・検索・要約・監視を補い、同じ人材プールで扱える量と難度が上がる。低コストだけでなく、技術人材・業界知識・時差が競争力になる。</x:v>
      </x:c>
      <x:c r="E32" s="182" t="str">
        <x:v>2｜人は例外・判断・責任へ
定型処理はAIへ移る一方、医療判断、本人確認、不正利用、説得、品質保証、AI改善は人が担う。人員数ではなく成果・精度・リスクで売る必要がある。</x:v>
      </x:c>
      <x:c r="F32" s="183" t="str">
        <x:v>2｜人は例外・判断・責任へ
定型処理はAIへ移る一方、医療判断、本人確認、不正利用、説得、品質保証、AI改善は人が担う。人員数ではなく成果・精度・リスクで売る必要がある。</x:v>
      </x:c>
      <x:c r="G32" s="183" t="str">
        <x:v>2｜人は例外・判断・責任へ
定型処理はAIへ移る一方、医療判断、本人確認、不正利用、説得、品質保証、AI改善は人が担う。人員数ではなく成果・精度・リスクで売る必要がある。</x:v>
      </x:c>
      <x:c r="H32" s="184" t="str">
        <x:v>2｜人は例外・判断・責任へ
定型処理はAIへ移る一方、医療判断、本人確認、不正利用、説得、品質保証、AI改善は人が担う。人員数ではなく成果・精度・リスクで売る必要がある。</x:v>
      </x:c>
      <x:c r="I32" s="215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  <x:c r="J32" s="50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  <x:c r="K32" s="50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  <x:c r="L32" s="50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  <x:c r="M32" s="216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</x:row>
    <x:row r="33">
      <x:c r="A33" s="146" t="str">
        <x:v>1｜海外人材の「仕事の上限」が上がる
AIが翻訳・検索・要約・監視を補い、同じ人材プールで扱える量と難度が上がる。低コストだけでなく、技術人材・業界知識・時差が競争力になる。</x:v>
      </x:c>
      <x:c r="B33" s="147" t="str">
        <x:v>1｜海外人材の「仕事の上限」が上がる
AIが翻訳・検索・要約・監視を補い、同じ人材プールで扱える量と難度が上がる。低コストだけでなく、技術人材・業界知識・時差が競争力になる。</x:v>
      </x:c>
      <x:c r="C33" s="147" t="str">
        <x:v>1｜海外人材の「仕事の上限」が上がる
AIが翻訳・検索・要約・監視を補い、同じ人材プールで扱える量と難度が上がる。低コストだけでなく、技術人材・業界知識・時差が競争力になる。</x:v>
      </x:c>
      <x:c r="D33" s="148" t="str">
        <x:v>1｜海外人材の「仕事の上限」が上がる
AIが翻訳・検索・要約・監視を補い、同じ人材プールで扱える量と難度が上がる。低コストだけでなく、技術人材・業界知識・時差が競争力になる。</x:v>
      </x:c>
      <x:c r="E33" s="182" t="str">
        <x:v>2｜人は例外・判断・責任へ
定型処理はAIへ移る一方、医療判断、本人確認、不正利用、説得、品質保証、AI改善は人が担う。人員数ではなく成果・精度・リスクで売る必要がある。</x:v>
      </x:c>
      <x:c r="F33" s="183" t="str">
        <x:v>2｜人は例外・判断・責任へ
定型処理はAIへ移る一方、医療判断、本人確認、不正利用、説得、品質保証、AI改善は人が担う。人員数ではなく成果・精度・リスクで売る必要がある。</x:v>
      </x:c>
      <x:c r="G33" s="183" t="str">
        <x:v>2｜人は例外・判断・責任へ
定型処理はAIへ移る一方、医療判断、本人確認、不正利用、説得、品質保証、AI改善は人が担う。人員数ではなく成果・精度・リスクで売る必要がある。</x:v>
      </x:c>
      <x:c r="H33" s="184" t="str">
        <x:v>2｜人は例外・判断・責任へ
定型処理はAIへ移る一方、医療判断、本人確認、不正利用、説得、品質保証、AI改善は人が担う。人員数ではなく成果・精度・リスクで売る必要がある。</x:v>
      </x:c>
      <x:c r="I33" s="215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  <x:c r="J33" s="50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  <x:c r="K33" s="50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  <x:c r="L33" s="50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  <x:c r="M33" s="216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</x:row>
    <x:row r="34">
      <x:c r="A34" s="149" t="str">
        <x:v>1｜海外人材の「仕事の上限」が上がる
AIが翻訳・検索・要約・監視を補い、同じ人材プールで扱える量と難度が上がる。低コストだけでなく、技術人材・業界知識・時差が競争力になる。</x:v>
      </x:c>
      <x:c r="B34" s="150" t="str">
        <x:v>1｜海外人材の「仕事の上限」が上がる
AIが翻訳・検索・要約・監視を補い、同じ人材プールで扱える量と難度が上がる。低コストだけでなく、技術人材・業界知識・時差が競争力になる。</x:v>
      </x:c>
      <x:c r="C34" s="150" t="str">
        <x:v>1｜海外人材の「仕事の上限」が上がる
AIが翻訳・検索・要約・監視を補い、同じ人材プールで扱える量と難度が上がる。低コストだけでなく、技術人材・業界知識・時差が競争力になる。</x:v>
      </x:c>
      <x:c r="D34" s="151" t="str">
        <x:v>1｜海外人材の「仕事の上限」が上がる
AIが翻訳・検索・要約・監視を補い、同じ人材プールで扱える量と難度が上がる。低コストだけでなく、技術人材・業界知識・時差が競争力になる。</x:v>
      </x:c>
      <x:c r="E34" s="185" t="str">
        <x:v>2｜人は例外・判断・責任へ
定型処理はAIへ移る一方、医療判断、本人確認、不正利用、説得、品質保証、AI改善は人が担う。人員数ではなく成果・精度・リスクで売る必要がある。</x:v>
      </x:c>
      <x:c r="F34" s="186" t="str">
        <x:v>2｜人は例外・判断・責任へ
定型処理はAIへ移る一方、医療判断、本人確認、不正利用、説得、品質保証、AI改善は人が担う。人員数ではなく成果・精度・リスクで売る必要がある。</x:v>
      </x:c>
      <x:c r="G34" s="186" t="str">
        <x:v>2｜人は例外・判断・責任へ
定型処理はAIへ移る一方、医療判断、本人確認、不正利用、説得、品質保証、AI改善は人が担う。人員数ではなく成果・精度・リスクで売る必要がある。</x:v>
      </x:c>
      <x:c r="H34" s="187" t="str">
        <x:v>2｜人は例外・判断・責任へ
定型処理はAIへ移る一方、医療判断、本人確認、不正利用、説得、品質保証、AI改善は人が担う。人員数ではなく成果・精度・リスクで売る必要がある。</x:v>
      </x:c>
      <x:c r="I34" s="217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  <x:c r="J34" s="218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  <x:c r="K34" s="218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  <x:c r="L34" s="218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  <x:c r="M34" s="219" t="str">
        <x:v>3｜定型BPOの発注量は縮む
Klarnaのように、AIが第三者ベンダー利用を直接削る領域もある。受託側は、業務設計・高難度運用・データ資産化・成果保証へ移らないと単価が崩れる。</x:v>
      </x:c>
    </x:row>
    <x:row r="36">
      <x:c r="A36" s="34" t="str">
        <x:v>調査メモ・証拠レベル</x:v>
      </x:c>
      <x:c r="B36" s="34" t="str">
        <x:v>調査メモ・証拠レベル</x:v>
      </x:c>
      <x:c r="C36" s="34" t="str">
        <x:v>調査メモ・証拠レベル</x:v>
      </x:c>
      <x:c r="D36" s="34" t="str">
        <x:v>調査メモ・証拠レベル</x:v>
      </x:c>
      <x:c r="E36" s="34" t="str">
        <x:v>調査メモ・証拠レベル</x:v>
      </x:c>
      <x:c r="F36" s="34" t="str">
        <x:v>調査メモ・証拠レベル</x:v>
      </x:c>
      <x:c r="G36" s="34" t="str">
        <x:v>調査メモ・証拠レベル</x:v>
      </x:c>
      <x:c r="H36" s="34" t="str">
        <x:v>調査メモ・証拠レベル</x:v>
      </x:c>
      <x:c r="I36" s="34" t="str">
        <x:v>調査メモ・証拠レベル</x:v>
      </x:c>
      <x:c r="J36" s="34" t="str">
        <x:v>調査メモ・証拠レベル</x:v>
      </x:c>
      <x:c r="K36" s="34" t="str">
        <x:v>調査メモ・証拠レベル</x:v>
      </x:c>
      <x:c r="L36" s="34" t="str">
        <x:v>調査メモ・証拠レベル</x:v>
      </x:c>
      <x:c r="M36" s="34" t="str">
        <x:v>調査メモ・証拠レベル</x:v>
      </x:c>
    </x:row>
    <x:row r="37">
      <x:c r="A37" s="247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B37" s="248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C37" s="248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D37" s="248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E37" s="248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F37" s="248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G37" s="248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H37" s="248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I37" s="248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J37" s="248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K37" s="248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L37" s="248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M37" s="249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</x:row>
    <x:row r="38">
      <x:c r="A38" s="250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B38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C38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D38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E38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F38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G38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H38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I38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J38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K38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L38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M38" s="252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</x:row>
    <x:row r="39">
      <x:c r="A39" s="250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B39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C39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D39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E39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F39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G39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H39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I39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J39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K39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L39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M39" s="252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</x:row>
    <x:row r="40">
      <x:c r="A40" s="250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B40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C40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D40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E40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F40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G40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H40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I40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J40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K40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L40" s="251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M40" s="252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</x:row>
    <x:row r="41">
      <x:c r="A41" s="253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B41" s="254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C41" s="254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D41" s="254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E41" s="254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F41" s="254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G41" s="254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H41" s="254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I41" s="254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J41" s="254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K41" s="254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L41" s="254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  <x:c r="M41" s="255" t="str">
        <x:v>2026-08-19時点。企業公式資料を優先し、報道は補助。A＝公式資料で国・業務・成果の主要点を確認、B＝公式資料だが実行国・案件配分の一部が非開示、C＝報道中心または歴史的事例。数値は各社公表値を含み、当方による独立検証は行っていない。</x:v>
      </x:c>
    </x:row>
  </x:sheetData>
  <x:mergeCells>
    <x:mergeCell ref="A1:M2"/>
    <x:mergeCell ref="A3:M3"/>
    <x:mergeCell ref="A5:C5"/>
    <x:mergeCell ref="A6:C8"/>
    <x:mergeCell ref="E5:G5"/>
    <x:mergeCell ref="E6:G8"/>
    <x:mergeCell ref="I5:K5"/>
    <x:mergeCell ref="I6:K8"/>
    <x:mergeCell ref="A27:M27"/>
    <x:mergeCell ref="A28:D34"/>
    <x:mergeCell ref="E28:H34"/>
    <x:mergeCell ref="I28:M34"/>
    <x:mergeCell ref="A36:M36"/>
    <x:mergeCell ref="A37:M41"/>
  </x:mergeCells>
  <x:pageMargins left="0.7" right="0.7" top="0.75" bottom="0.75" header="0.3" footer="0.3"/>
  <x:drawing xmlns:r="http://schemas.openxmlformats.org/officeDocument/2006/relationships" r:id="Rdcb56f5911d1473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9" hidden="0" customWidth="1"/>
    <x:col min="3" max="3" width="26" hidden="0" customWidth="1"/>
    <x:col min="4" max="4" width="24" hidden="0" customWidth="1"/>
    <x:col min="5" max="5" width="17" hidden="0" customWidth="1"/>
    <x:col min="6" max="6" width="27" hidden="0" customWidth="1"/>
    <x:col min="7" max="7" width="20" hidden="0" customWidth="1"/>
    <x:col min="8" max="8" width="29" hidden="0" customWidth="1"/>
    <x:col min="9" max="9" width="30" hidden="0" customWidth="1"/>
    <x:col min="10" max="10" width="30" hidden="0" customWidth="1"/>
    <x:col min="11" max="11" width="29" hidden="0" customWidth="1"/>
    <x:col min="12" max="12" width="28" hidden="0" customWidth="1"/>
    <x:col min="13" max="13" width="8" hidden="0" customWidth="1"/>
    <x:col min="14" max="14" width="44" hidden="0" customWidth="1"/>
    <x:col min="15" max="15" width="44" hidden="0" customWidth="1"/>
    <x:col min="16" max="16" width="30" hidden="0" customWidth="1"/>
  </x:cols>
  <x:sheetData>
    <x:row r="1">
      <x:c r="A1" s="5" t="str">
        <x:v>AI×BPO グローバル事例一覧｜13 cases</x:v>
      </x:c>
      <x:c r="B1" s="5" t="str">
        <x:v>AI×BPO グローバル事例一覧｜13 cases</x:v>
      </x:c>
      <x:c r="C1" s="5" t="str">
        <x:v>AI×BPO グローバル事例一覧｜13 cases</x:v>
      </x:c>
      <x:c r="D1" s="5" t="str">
        <x:v>AI×BPO グローバル事例一覧｜13 cases</x:v>
      </x:c>
      <x:c r="E1" s="5" t="str">
        <x:v>AI×BPO グローバル事例一覧｜13 cases</x:v>
      </x:c>
      <x:c r="F1" s="5" t="str">
        <x:v>AI×BPO グローバル事例一覧｜13 cases</x:v>
      </x:c>
      <x:c r="G1" s="5" t="str">
        <x:v>AI×BPO グローバル事例一覧｜13 cases</x:v>
      </x:c>
      <x:c r="H1" s="5" t="str">
        <x:v>AI×BPO グローバル事例一覧｜13 cases</x:v>
      </x:c>
      <x:c r="I1" s="5" t="str">
        <x:v>AI×BPO グローバル事例一覧｜13 cases</x:v>
      </x:c>
      <x:c r="J1" s="5" t="str">
        <x:v>AI×BPO グローバル事例一覧｜13 cases</x:v>
      </x:c>
      <x:c r="K1" s="5" t="str">
        <x:v>AI×BPO グローバル事例一覧｜13 cases</x:v>
      </x:c>
      <x:c r="L1" s="5" t="str">
        <x:v>AI×BPO グローバル事例一覧｜13 cases</x:v>
      </x:c>
      <x:c r="M1" s="5" t="str">
        <x:v>AI×BPO グローバル事例一覧｜13 cases</x:v>
      </x:c>
      <x:c r="N1" s="5" t="str">
        <x:v>AI×BPO グローバル事例一覧｜13 cases</x:v>
      </x:c>
      <x:c r="O1" s="5" t="str">
        <x:v>AI×BPO グローバル事例一覧｜13 cases</x:v>
      </x:c>
      <x:c r="P1" s="5" t="str">
        <x:v>AI×BPO グローバル事例一覧｜13 cases</x:v>
      </x:c>
    </x:row>
    <x:row r="2">
      <x:c r="A2" s="5" t="str">
        <x:v>AI×BPO グローバル事例一覧｜13 cases</x:v>
      </x:c>
      <x:c r="B2" s="5" t="str">
        <x:v>AI×BPO グローバル事例一覧｜13 cases</x:v>
      </x:c>
      <x:c r="C2" s="5" t="str">
        <x:v>AI×BPO グローバル事例一覧｜13 cases</x:v>
      </x:c>
      <x:c r="D2" s="5" t="str">
        <x:v>AI×BPO グローバル事例一覧｜13 cases</x:v>
      </x:c>
      <x:c r="E2" s="5" t="str">
        <x:v>AI×BPO グローバル事例一覧｜13 cases</x:v>
      </x:c>
      <x:c r="F2" s="5" t="str">
        <x:v>AI×BPO グローバル事例一覧｜13 cases</x:v>
      </x:c>
      <x:c r="G2" s="5" t="str">
        <x:v>AI×BPO グローバル事例一覧｜13 cases</x:v>
      </x:c>
      <x:c r="H2" s="5" t="str">
        <x:v>AI×BPO グローバル事例一覧｜13 cases</x:v>
      </x:c>
      <x:c r="I2" s="5" t="str">
        <x:v>AI×BPO グローバル事例一覧｜13 cases</x:v>
      </x:c>
      <x:c r="J2" s="5" t="str">
        <x:v>AI×BPO グローバル事例一覧｜13 cases</x:v>
      </x:c>
      <x:c r="K2" s="5" t="str">
        <x:v>AI×BPO グローバル事例一覧｜13 cases</x:v>
      </x:c>
      <x:c r="L2" s="5" t="str">
        <x:v>AI×BPO グローバル事例一覧｜13 cases</x:v>
      </x:c>
      <x:c r="M2" s="5" t="str">
        <x:v>AI×BPO グローバル事例一覧｜13 cases</x:v>
      </x:c>
      <x:c r="N2" s="5" t="str">
        <x:v>AI×BPO グローバル事例一覧｜13 cases</x:v>
      </x:c>
      <x:c r="O2" s="5" t="str">
        <x:v>AI×BPO グローバル事例一覧｜13 cases</x:v>
      </x:c>
      <x:c r="P2" s="5" t="str">
        <x:v>AI×BPO グローバル事例一覧｜13 cases</x:v>
      </x:c>
    </x:row>
    <x:row r="3">
      <x:c r="A3" s="10" t="str">
        <x:v>発注国・市場 → 実行国・地域、AIと人間の役割、成果、根拠URLを同じ行で比較。数値は各社公表値を含み、案件配分が非開示のものは注記した。</x:v>
      </x:c>
      <x:c r="B3" s="10" t="str">
        <x:v>発注国・市場 → 実行国・地域、AIと人間の役割、成果、根拠URLを同じ行で比較。数値は各社公表値を含み、案件配分が非開示のものは注記した。</x:v>
      </x:c>
      <x:c r="C3" s="10" t="str">
        <x:v>発注国・市場 → 実行国・地域、AIと人間の役割、成果、根拠URLを同じ行で比較。数値は各社公表値を含み、案件配分が非開示のものは注記した。</x:v>
      </x:c>
      <x:c r="D3" s="10" t="str">
        <x:v>発注国・市場 → 実行国・地域、AIと人間の役割、成果、根拠URLを同じ行で比較。数値は各社公表値を含み、案件配分が非開示のものは注記した。</x:v>
      </x:c>
      <x:c r="E3" s="10" t="str">
        <x:v>発注国・市場 → 実行国・地域、AIと人間の役割、成果、根拠URLを同じ行で比較。数値は各社公表値を含み、案件配分が非開示のものは注記した。</x:v>
      </x:c>
      <x:c r="F3" s="10" t="str">
        <x:v>発注国・市場 → 実行国・地域、AIと人間の役割、成果、根拠URLを同じ行で比較。数値は各社公表値を含み、案件配分が非開示のものは注記した。</x:v>
      </x:c>
      <x:c r="G3" s="10" t="str">
        <x:v>発注国・市場 → 実行国・地域、AIと人間の役割、成果、根拠URLを同じ行で比較。数値は各社公表値を含み、案件配分が非開示のものは注記した。</x:v>
      </x:c>
      <x:c r="H3" s="10" t="str">
        <x:v>発注国・市場 → 実行国・地域、AIと人間の役割、成果、根拠URLを同じ行で比較。数値は各社公表値を含み、案件配分が非開示のものは注記した。</x:v>
      </x:c>
      <x:c r="I3" s="10" t="str">
        <x:v>発注国・市場 → 実行国・地域、AIと人間の役割、成果、根拠URLを同じ行で比較。数値は各社公表値を含み、案件配分が非開示のものは注記した。</x:v>
      </x:c>
      <x:c r="J3" s="10" t="str">
        <x:v>発注国・市場 → 実行国・地域、AIと人間の役割、成果、根拠URLを同じ行で比較。数値は各社公表値を含み、案件配分が非開示のものは注記した。</x:v>
      </x:c>
      <x:c r="K3" s="10" t="str">
        <x:v>発注国・市場 → 実行国・地域、AIと人間の役割、成果、根拠URLを同じ行で比較。数値は各社公表値を含み、案件配分が非開示のものは注記した。</x:v>
      </x:c>
      <x:c r="L3" s="10" t="str">
        <x:v>発注国・市場 → 実行国・地域、AIと人間の役割、成果、根拠URLを同じ行で比較。数値は各社公表値を含み、案件配分が非開示のものは注記した。</x:v>
      </x:c>
      <x:c r="M3" s="10" t="str">
        <x:v>発注国・市場 → 実行国・地域、AIと人間の役割、成果、根拠URLを同じ行で比較。数値は各社公表値を含み、案件配分が非開示のものは注記した。</x:v>
      </x:c>
      <x:c r="N3" s="10" t="str">
        <x:v>発注国・市場 → 実行国・地域、AIと人間の役割、成果、根拠URLを同じ行で比較。数値は各社公表値を含み、案件配分が非開示のものは注記した。</x:v>
      </x:c>
      <x:c r="O3" s="10" t="str">
        <x:v>発注国・市場 → 実行国・地域、AIと人間の役割、成果、根拠URLを同じ行で比較。数値は各社公表値を含み、案件配分が非開示のものは注記した。</x:v>
      </x:c>
      <x:c r="P3" s="10" t="str">
        <x:v>発注国・市場 → 実行国・地域、AIと人間の役割、成果、根拠URLを同じ行で比較。数値は各社公表値を含み、案件配分が非開示のものは注記した。</x:v>
      </x:c>
    </x:row>
    <x:row r="5">
      <x:c r="A5" s="16" t="str">
        <x:v>No.</x:v>
      </x:c>
      <x:c r="B5" s="16" t="str">
        <x:v>分類</x:v>
      </x:c>
      <x:c r="C5" s="16" t="str">
        <x:v>事例</x:v>
      </x:c>
      <x:c r="D5" s="16" t="str">
        <x:v>発注企業／業界</x:v>
      </x:c>
      <x:c r="E5" s="16" t="str">
        <x:v>発注国・市場</x:v>
      </x:c>
      <x:c r="F5" s="16" t="str">
        <x:v>実行国・地域</x:v>
      </x:c>
      <x:c r="G5" s="16" t="str">
        <x:v>オフショア形態</x:v>
      </x:c>
      <x:c r="H5" s="16" t="str">
        <x:v>受託業務</x:v>
      </x:c>
      <x:c r="I5" s="16" t="str">
        <x:v>AIの担当</x:v>
      </x:c>
      <x:c r="J5" s="16" t="str">
        <x:v>人間の担当</x:v>
      </x:c>
      <x:c r="K5" s="16" t="str">
        <x:v>公表成果</x:v>
      </x:c>
      <x:c r="L5" s="16" t="str">
        <x:v>戦略的意味</x:v>
      </x:c>
      <x:c r="M5" s="16" t="str">
        <x:v>証拠</x:v>
      </x:c>
      <x:c r="N5" s="16" t="str">
        <x:v>出典URL 1</x:v>
      </x:c>
      <x:c r="O5" s="16" t="str">
        <x:v>出典URL 2</x:v>
      </x:c>
      <x:c r="P5" s="16" t="str">
        <x:v>注記</x:v>
      </x:c>
    </x:row>
    <x:row r="6" ht="78" customHeight="1">
      <x:c r="A6" s="23" t="n">
        <x:v>1</x:v>
      </x:c>
      <x:c r="B6" s="22" t="str">
        <x:v>既存BPOの高度化</x:v>
      </x:c>
      <x:c r="C6" s="22" t="str">
        <x:v>Foundever × 米国福利厚生保険</x:v>
      </x:c>
      <x:c r="D6" s="22" t="str">
        <x:v>米国の団体福利厚生保険会社</x:v>
      </x:c>
      <x:c r="E6" s="22" t="str">
        <x:v>米国</x:v>
      </x:c>
      <x:c r="F6" s="22" t="str">
        <x:v>フィリピン／エルサルバドル</x:v>
      </x:c>
      <x:c r="G6" s="22" t="str">
        <x:v>オフショア＋ニアショア</x:v>
      </x:c>
      <x:c r="H6" s="22" t="str">
        <x:v>チャット・音声による保険加入者対応</x:v>
      </x:c>
      <x:c r="I6" s="22" t="str">
        <x:v>チャットボット、失敗ログ／会話データの集約</x:v>
      </x:c>
      <x:c r="J6" s="22" t="str">
        <x:v>AI失敗の原因分類、VOC分析、改善フィードバック</x:v>
      </x:c>
      <x:c r="K6" s="22" t="str">
        <x:v>問い合わせ10%減、VOC 85%（目標81%）</x:v>
      </x:c>
      <x:c r="L6" s="22" t="str">
        <x:v>受託者がAI改善ループを回す</x:v>
      </x:c>
      <x:c r="M6" s="26" t="str">
        <x:v>A</x:v>
      </x:c>
      <x:c r="N6" s="24" t="str">
        <x:v>https://foundever.com/case-studies/group-benefits-insurer-turns-chatbot-breakdowns-into-continuous-digital-improvement/</x:v>
      </x:c>
      <x:c r="O6" s="24" t="str"/>
      <x:c r="P6" s="22" t="str">
        <x:v>企業公式ケース。問い合わせ減は前年比。</x:v>
      </x:c>
    </x:row>
    <x:row r="7" ht="78" customHeight="1">
      <x:c r="A7" s="23" t="n">
        <x:v>2</x:v>
      </x:c>
      <x:c r="B7" s="22" t="str">
        <x:v>既存BPOの高度化</x:v>
      </x:c>
      <x:c r="C7" s="22" t="str">
        <x:v>Foundever × 米国大手小売</x:v>
      </x:c>
      <x:c r="D7" s="22" t="str">
        <x:v>米国大手小売企業</x:v>
      </x:c>
      <x:c r="E7" s="22" t="str">
        <x:v>米国</x:v>
      </x:c>
      <x:c r="F7" s="22" t="str">
        <x:v>インド／フィリピン／ニカラグア／メキシコ</x:v>
      </x:c>
      <x:c r="G7" s="22" t="str">
        <x:v>オフショア＋ニアショア</x:v>
      </x:c>
      <x:c r="H7" s="22" t="str">
        <x:v>音声・チャット・デジタル顧客対応</x:v>
      </x:c>
      <x:c r="I7" s="22" t="str">
        <x:v>セルフサービス、IVR、会話分析、自動化</x:v>
      </x:c>
      <x:c r="J7" s="22" t="str">
        <x:v>複雑案件、販売支援、改善運用</x:v>
      </x:c>
      <x:c r="K7" s="22" t="str">
        <x:v>1,000万ドル超削減、AHT 35%改善、ライブチャット30%減</x:v>
      </x:c>
      <x:c r="L7" s="22" t="str">
        <x:v>AIと拠点再編を同時に行い単価を下げる</x:v>
      </x:c>
      <x:c r="M7" s="26" t="str">
        <x:v>A</x:v>
      </x:c>
      <x:c r="N7" s="24" t="str">
        <x:v>https://foundever.com/en-uk/case-studies/a-leading-retailer-achieves-over-10-million-in-savings/</x:v>
      </x:c>
      <x:c r="O7" s="24" t="str"/>
      <x:c r="P7" s="22" t="str">
        <x:v>企業公式ケース。研修10%減、ライブ音声5%減も公表。</x:v>
      </x:c>
    </x:row>
    <x:row r="8" ht="78" customHeight="1">
      <x:c r="A8" s="23" t="n">
        <x:v>3</x:v>
      </x:c>
      <x:c r="B8" s="22" t="str">
        <x:v>既存BPOの高度化</x:v>
      </x:c>
      <x:c r="C8" s="22" t="str">
        <x:v>TP × Sanas</x:v>
      </x:c>
      <x:c r="D8" s="22" t="str">
        <x:v>米国通信等のコンタクトセンター顧客</x:v>
      </x:c>
      <x:c r="E8" s="22" t="str">
        <x:v>米国など</x:v>
      </x:c>
      <x:c r="F8" s="22" t="str">
        <x:v>インド／フィリピン／中南米（会社拠点ベース）</x:v>
      </x:c>
      <x:c r="G8" s="22" t="str">
        <x:v>オフショア</x:v>
      </x:c>
      <x:c r="H8" s="22" t="str">
        <x:v>音声顧客対応</x:v>
      </x:c>
      <x:c r="I8" s="22" t="str">
        <x:v>リアルタイムのアクセント変換・雑音除去</x:v>
      </x:c>
      <x:c r="J8" s="22" t="str">
        <x:v>顧客との会話、説得、例外処理</x:v>
      </x:c>
      <x:c r="K8" s="22" t="str">
        <x:v>CSAT 22%増、AHT 37.5%減、FCR 14%増</x:v>
      </x:c>
      <x:c r="L8" s="22" t="str">
        <x:v>AIが言語差を吸収し、海外拠点の仕事上限を上げる</x:v>
      </x:c>
      <x:c r="M8" s="28" t="str">
        <x:v>B</x:v>
      </x:c>
      <x:c r="N8" s="24" t="str">
        <x:v>https://www.sanas.ai/customer-stories/tp</x:v>
      </x:c>
      <x:c r="O8" s="24" t="str">
        <x:v>https://www.tp.com/en-us/insights-list/press-releases/teleperformance-forms-strategic-partnership-with-real-time-speech-understanding-provider-sanas-as-part-its-growth-strategy-to-accelerate-ai-development-and-reinvent-customer-experience/</x:v>
      </x:c>
      <x:c r="P8" s="22" t="str">
        <x:v>数値はベンダー公表値。案件ごとの実行国配分は一部非開示。</x:v>
      </x:c>
    </x:row>
    <x:row r="9" ht="78" customHeight="1">
      <x:c r="A9" s="23" t="n">
        <x:v>4</x:v>
      </x:c>
      <x:c r="B9" s="22" t="str">
        <x:v>既存BPOの高度化</x:v>
      </x:c>
      <x:c r="C9" s="22" t="str">
        <x:v>Genpact × 航空機エンジンメーカー</x:v>
      </x:c>
      <x:c r="D9" s="22" t="str">
        <x:v>欧州の航空機エンジンメーカー</x:v>
      </x:c>
      <x:c r="E9" s="22" t="str">
        <x:v>欧州</x:v>
      </x:c>
      <x:c r="F9" s="22" t="str">
        <x:v>インド</x:v>
      </x:c>
      <x:c r="G9" s="22" t="str">
        <x:v>オフショア</x:v>
      </x:c>
      <x:c r="H9" s="22" t="str">
        <x:v>多言語の請求書処理・照会</x:v>
      </x:c>
      <x:c r="I9" s="22" t="str">
        <x:v>翻訳、メール理解、照会・要約支援</x:v>
      </x:c>
      <x:c r="J9" s="22" t="str">
        <x:v>例外確認、会計判断、取引先対応</x:v>
      </x:c>
      <x:c r="K9" s="22" t="str">
        <x:v>年間13.75万ドル削減</x:v>
      </x:c>
      <x:c r="L9" s="22" t="str">
        <x:v>言語の壁をAIで下げ、移管可能業務を増やす</x:v>
      </x:c>
      <x:c r="M9" s="26" t="str">
        <x:v>A</x:v>
      </x:c>
      <x:c r="N9" s="24" t="str">
        <x:v>https://www.genpact.com/case-studies/powering-ai-innovation</x:v>
      </x:c>
      <x:c r="O9" s="24" t="str"/>
      <x:c r="P9" s="22" t="str">
        <x:v>企業公式ケース。</x:v>
      </x:c>
    </x:row>
    <x:row r="10" ht="78" customHeight="1">
      <x:c r="A10" s="23" t="n">
        <x:v>5</x:v>
      </x:c>
      <x:c r="B10" s="22" t="str">
        <x:v>既存BPOの高度化</x:v>
      </x:c>
      <x:c r="C10" s="22" t="str">
        <x:v>WNS × 中古車マーケットプレイス</x:v>
      </x:c>
      <x:c r="D10" s="22" t="str">
        <x:v>グローバル中古車マーケットプレイス</x:v>
      </x:c>
      <x:c r="E10" s="22" t="str">
        <x:v>グローバル（本社非開示）</x:v>
      </x:c>
      <x:c r="F10" s="22" t="str">
        <x:v>インド／フィリピン（会社拠点ベース）</x:v>
      </x:c>
      <x:c r="G10" s="22" t="str">
        <x:v>オフショア</x:v>
      </x:c>
      <x:c r="H10" s="22" t="str">
        <x:v>顧客対応、マーケット運用、経理、人事、IT</x:v>
      </x:c>
      <x:c r="I10" s="22" t="str">
        <x:v>会話AI、生成AI、ハイパーオートメーション</x:v>
      </x:c>
      <x:c r="J10" s="22" t="str">
        <x:v>移行設計、例外処理、品質管理</x:v>
      </x:c>
      <x:c r="K10" s="22" t="str">
        <x:v>数値非開示。複数業務の統合・変革ロードマップを公表</x:v>
      </x:c>
      <x:c r="L10" s="22" t="str">
        <x:v>単一業務ではなく企業横断の運用基盤へ</x:v>
      </x:c>
      <x:c r="M10" s="28" t="str">
        <x:v>B</x:v>
      </x:c>
      <x:c r="N10" s="24" t="str">
        <x:v>https://www.wns.com/perspectives/case-studies/powering-future-ready-digital-transformation-for-a-used-vehicle-marketplace</x:v>
      </x:c>
      <x:c r="O10" s="24" t="str"/>
      <x:c r="P10" s="22" t="str">
        <x:v>案件固有の実行国配分は非開示。</x:v>
      </x:c>
    </x:row>
    <x:row r="11" ht="78" customHeight="1">
      <x:c r="A11" s="23" t="n">
        <x:v>6</x:v>
      </x:c>
      <x:c r="B11" s="22" t="str">
        <x:v>既存BPOの高度化</x:v>
      </x:c>
      <x:c r="C11" s="22" t="str">
        <x:v>Access Healthcare</x:v>
      </x:c>
      <x:c r="D11" s="22" t="str">
        <x:v>米国の病院・医療提供者</x:v>
      </x:c>
      <x:c r="E11" s="22" t="str">
        <x:v>米国</x:v>
      </x:c>
      <x:c r="F11" s="22" t="str">
        <x:v>インド／フィリピン／米国</x:v>
      </x:c>
      <x:c r="G11" s="22" t="str">
        <x:v>オフショア＋オンショア</x:v>
      </x:c>
      <x:c r="H11" s="22" t="str">
        <x:v>資格確認、入力、コーディング、入金、AR、否認・異議申立て</x:v>
      </x:c>
      <x:c r="I11" s="22" t="str">
        <x:v>AI／RPA基盤 echo による正常系処理</x:v>
      </x:c>
      <x:c r="J11" s="22" t="str">
        <x:v>医療判断、例外、否認対応、品質管理</x:v>
      </x:c>
      <x:c r="K11" s="22" t="str">
        <x:v>入金処理1億件超、約85%が人手不要</x:v>
      </x:c>
      <x:c r="L11" s="22" t="str">
        <x:v>医療事務の工程全体をAI＋海外運用で受託する</x:v>
      </x:c>
      <x:c r="M11" s="28" t="str">
        <x:v>B</x:v>
      </x:c>
      <x:c r="N11" s="24" t="str">
        <x:v>https://www.accesshealthcare.com/services/revenue-cycle-process-automation/overview</x:v>
      </x:c>
      <x:c r="O11" s="24" t="str">
        <x:v>https://www.accesshealthcare.com/news/2021/7/21/introducing-echo-an-artificial-intelligence-and-revenue-cycle-process-automation-platform</x:v>
      </x:c>
      <x:c r="P11" s="22" t="str">
        <x:v>数値は企業公表値。国別の案件配分は一部非開示。</x:v>
      </x:c>
    </x:row>
    <x:row r="12" ht="78" customHeight="1">
      <x:c r="A12" s="23" t="n">
        <x:v>7</x:v>
      </x:c>
      <x:c r="B12" s="22" t="str">
        <x:v>既存BPOの高度化</x:v>
      </x:c>
      <x:c r="C12" s="22" t="str">
        <x:v>IKS Health</x:v>
      </x:c>
      <x:c r="D12" s="22" t="str">
        <x:v>米国医療機関</x:v>
      </x:c>
      <x:c r="E12" s="22" t="str">
        <x:v>米国</x:v>
      </x:c>
      <x:c r="F12" s="22" t="str">
        <x:v>インド＋米国</x:v>
      </x:c>
      <x:c r="G12" s="22" t="str">
        <x:v>オフショア＋オンショア</x:v>
      </x:c>
      <x:c r="H12" s="22" t="str">
        <x:v>診療記録、医療コーディング、事前承認、請求</x:v>
      </x:c>
      <x:c r="I12" s="22" t="str">
        <x:v>ノート作成、コード候補、請求処理の自動化</x:v>
      </x:c>
      <x:c r="J12" s="22" t="str">
        <x:v>臨床・コーディング検証、例外判断</x:v>
      </x:c>
      <x:c r="K12" s="22" t="str">
        <x:v>月間コーディング支援費65%減、TAT 24〜48時間</x:v>
      </x:c>
      <x:c r="L12" s="22" t="str">
        <x:v>AIが正常系、人が医療判断を担うハイブリッド</x:v>
      </x:c>
      <x:c r="M12" s="26" t="str">
        <x:v>A</x:v>
      </x:c>
      <x:c r="N12" s="24" t="str">
        <x:v>https://ikshealth.com/insights/client-stories/scaling-medical-coding-excellence-for-midwests-large-health-system/</x:v>
      </x:c>
      <x:c r="O12" s="24" t="str">
        <x:v>https://cloud.google.com/customers/iks-health</x:v>
      </x:c>
      <x:c r="P12" s="22" t="str">
        <x:v>企業公式ケース。プラットフォームは年1.2億取引を公表。</x:v>
      </x:c>
    </x:row>
    <x:row r="13" ht="78" customHeight="1">
      <x:c r="A13" s="23" t="n">
        <x:v>8</x:v>
      </x:c>
      <x:c r="B13" s="22" t="str">
        <x:v>既存BPOの高度化</x:v>
      </x:c>
      <x:c r="C13" s="22" t="str">
        <x:v>Konecta × DIRECTV</x:v>
      </x:c>
      <x:c r="D13" s="22" t="str">
        <x:v>DIRECTV Latin America</x:v>
      </x:c>
      <x:c r="E13" s="22" t="str">
        <x:v>中南米</x:v>
      </x:c>
      <x:c r="F13" s="22" t="str">
        <x:v>中南米7カ国</x:v>
      </x:c>
      <x:c r="G13" s="22" t="str">
        <x:v>地域内アウトソーシング</x:v>
      </x:c>
      <x:c r="H13" s="22" t="str">
        <x:v>顧客対応を100%外部化</x:v>
      </x:c>
      <x:c r="I13" s="22" t="str">
        <x:v>生成AIコパイロット、仮想アシスタント、音声分析、自動QA</x:v>
      </x:c>
      <x:c r="J13" s="22" t="str">
        <x:v>複雑案件、販売・解約抑止、監督</x:v>
      </x:c>
      <x:c r="K13" s="22" t="str">
        <x:v>定量値は非開示。7カ国の顧客対応を統合</x:v>
      </x:c>
      <x:c r="L13" s="22" t="str">
        <x:v>ニアショア型でAIとリアルタイム運用を組み合わせる</x:v>
      </x:c>
      <x:c r="M13" s="26" t="str">
        <x:v>A</x:v>
      </x:c>
      <x:c r="N13" s="24" t="str">
        <x:v>https://konecta.com/index.php/news-insights/clients-stories/elevating-directvs-multi-country-support-with-genai-and-automation</x:v>
      </x:c>
      <x:c r="O13" s="24" t="str"/>
      <x:c r="P13" s="22" t="str">
        <x:v>古典的オフショアより地域内統合に近い。</x:v>
      </x:c>
    </x:row>
    <x:row r="14" ht="78" customHeight="1">
      <x:c r="A14" s="23" t="n">
        <x:v>9</x:v>
      </x:c>
      <x:c r="B14" s="22" t="str">
        <x:v>AIを作るBPO</x:v>
      </x:c>
      <x:c r="C14" s="22" t="str">
        <x:v>TaskUs × 米国自動運転企業</x:v>
      </x:c>
      <x:c r="D14" s="22" t="str">
        <x:v>米国の自動運転企業</x:v>
      </x:c>
      <x:c r="E14" s="22" t="str">
        <x:v>米国</x:v>
      </x:c>
      <x:c r="F14" s="22" t="str">
        <x:v>非開示（同社主要拠点：フィリピン／インド／米国）</x:v>
      </x:c>
      <x:c r="G14" s="22" t="str">
        <x:v>AIデータ業務の外部委託</x:v>
      </x:c>
      <x:c r="H14" s="22" t="str">
        <x:v>自動運転画像のアノテーション・評価</x:v>
      </x:c>
      <x:c r="I14" s="22" t="str">
        <x:v>前処理・候補提示・品質支援</x:v>
      </x:c>
      <x:c r="J14" s="22" t="str">
        <x:v>物体ラベル、難例判断、品質確認</x:v>
      </x:c>
      <x:c r="K14" s="22" t="str">
        <x:v>1,800人規模、精度98%、生産性115%</x:v>
      </x:c>
      <x:c r="L14" s="22" t="str">
        <x:v>大規模BPOがAIサプライチェーンへ転換</x:v>
      </x:c>
      <x:c r="M14" s="28" t="str">
        <x:v>B</x:v>
      </x:c>
      <x:c r="N14" s="24" t="str">
        <x:v>https://www.taskus.com/insights/what-is-image-annotation/</x:v>
      </x:c>
      <x:c r="O14" s="24" t="str">
        <x:v>https://ir.taskus.com/static-files/8e218043-c18d-40cb-9958-e034696fecb0</x:v>
      </x:c>
      <x:c r="P14" s="22" t="str">
        <x:v>案件固有の実行国は非開示。</x:v>
      </x:c>
    </x:row>
    <x:row r="15" ht="78" customHeight="1">
      <x:c r="A15" s="23" t="n">
        <x:v>10</x:v>
      </x:c>
      <x:c r="B15" s="22" t="str">
        <x:v>AIを作るBPO</x:v>
      </x:c>
      <x:c r="C15" s="22" t="str">
        <x:v>CloudFactory × Nearmap</x:v>
      </x:c>
      <x:c r="D15" s="22" t="str">
        <x:v>豪州の航空画像・位置情報企業 Nearmap</x:v>
      </x:c>
      <x:c r="E15" s="22" t="str">
        <x:v>豪州</x:v>
      </x:c>
      <x:c r="F15" s="22" t="str">
        <x:v>ネパール／ケニア／米国（提供拠点ベース）</x:v>
      </x:c>
      <x:c r="G15" s="22" t="str">
        <x:v>AIデータ業務の外部委託</x:v>
      </x:c>
      <x:c r="H15" s="22" t="str">
        <x:v>航空写真の教師データ作成</x:v>
      </x:c>
      <x:c r="I15" s="22" t="str">
        <x:v>画像処理・候補提示</x:v>
      </x:c>
      <x:c r="J15" s="22" t="str">
        <x:v>建物・地物のポリゴン作成、品質確認</x:v>
      </x:c>
      <x:c r="K15" s="22" t="str">
        <x:v>30万時間超、月間作業量10倍、3年以上の協業</x:v>
      </x:c>
      <x:c r="L15" s="22" t="str">
        <x:v>AI開発そのものが国際分業になる</x:v>
      </x:c>
      <x:c r="M15" s="28" t="str">
        <x:v>B</x:v>
      </x:c>
      <x:c r="N15" s="24" t="str">
        <x:v>https://www.cloudfactory.com/client-stories/nearmap-ai</x:v>
      </x:c>
      <x:c r="O15" s="24" t="str"/>
      <x:c r="P15" s="22" t="str">
        <x:v>案件の国別配分は非開示。</x:v>
      </x:c>
    </x:row>
    <x:row r="16" ht="78" customHeight="1">
      <x:c r="A16" s="23" t="n">
        <x:v>11</x:v>
      </x:c>
      <x:c r="B16" s="22" t="str">
        <x:v>AIを作るBPO</x:v>
      </x:c>
      <x:c r="C16" s="22" t="str">
        <x:v>Invisible Technologies × 大手AI開発企業</x:v>
      </x:c>
      <x:c r="D16" s="22" t="str">
        <x:v>大手AI開発企業（社名非開示）</x:v>
      </x:c>
      <x:c r="E16" s="22" t="str">
        <x:v>非開示</x:v>
      </x:c>
      <x:c r="F16" s="22" t="str">
        <x:v>世界の専門人材</x:v>
      </x:c>
      <x:c r="G16" s="22" t="str">
        <x:v>分散型専門人材BPO</x:v>
      </x:c>
      <x:c r="H16" s="22" t="str">
        <x:v>RLHF、敵対的NLI、モデル評価</x:v>
      </x:c>
      <x:c r="I16" s="22" t="str">
        <x:v>評価対象モデルと作業配分</x:v>
      </x:c>
      <x:c r="J16" s="22" t="str">
        <x:v>専門評価、難例作成、安全性テスト</x:v>
      </x:c>
      <x:c r="K16" s="22" t="str">
        <x:v>487人、1日5,000件、精度約95%、公開を6カ月前倒し</x:v>
      </x:c>
      <x:c r="L16" s="22" t="str">
        <x:v>単純ラベルから専門知識BPOへ</x:v>
      </x:c>
      <x:c r="M16" s="28" t="str">
        <x:v>B</x:v>
      </x:c>
      <x:c r="N16" s="24" t="str">
        <x:v>https://www.invisible.co/case-studies/launching-a-leading-llm-6-months-faster</x:v>
      </x:c>
      <x:c r="O16" s="24" t="str"/>
      <x:c r="P16" s="22" t="str">
        <x:v>顧客国・主要実行国は非開示。</x:v>
      </x:c>
    </x:row>
    <x:row r="17" ht="78" customHeight="1">
      <x:c r="A17" s="23" t="n">
        <x:v>12</x:v>
      </x:c>
      <x:c r="B17" s="22" t="str">
        <x:v>AIを作るBPO</x:v>
      </x:c>
      <x:c r="C17" s="22" t="str">
        <x:v>OpenAI × Sama（歴史的事例）</x:v>
      </x:c>
      <x:c r="D17" s="22" t="str">
        <x:v>OpenAI</x:v>
      </x:c>
      <x:c r="E17" s="22" t="str">
        <x:v>米国</x:v>
      </x:c>
      <x:c r="F17" s="22" t="str">
        <x:v>ケニア</x:v>
      </x:c>
      <x:c r="G17" s="22" t="str">
        <x:v>AI安全データのオフショア</x:v>
      </x:c>
      <x:c r="H17" s="22" t="str">
        <x:v>暴力・差別・性的内容等の分類</x:v>
      </x:c>
      <x:c r="I17" s="22" t="str">
        <x:v>安全フィルター学習</x:v>
      </x:c>
      <x:c r="J17" s="22" t="str">
        <x:v>有害コンテンツの分類・ラベル付け</x:v>
      </x:c>
      <x:c r="K17" s="22" t="str">
        <x:v>契約規模約20万ドル、手取り約1.32〜2ドル／時と報道</x:v>
      </x:c>
      <x:c r="L17" s="22" t="str">
        <x:v>AI発注元にも賃金・安全・心理ケアの責任</x:v>
      </x:c>
      <x:c r="M17" s="30" t="str">
        <x:v>C</x:v>
      </x:c>
      <x:c r="N17" s="24" t="str">
        <x:v>https://time.com/6247678/openai-chatgpt-kenya-workers/</x:v>
      </x:c>
      <x:c r="O17" s="24" t="str"/>
      <x:c r="P17" s="22" t="str">
        <x:v>2023年のTIME調査報道。非グラフィックな倫理論点として採用。</x:v>
      </x:c>
    </x:row>
    <x:row r="18" ht="78" customHeight="1">
      <x:c r="A18" s="23" t="n">
        <x:v>13</x:v>
      </x:c>
      <x:c r="B18" s="22" t="str">
        <x:v>AIがBPOを削減</x:v>
      </x:c>
      <x:c r="C18" s="22" t="str">
        <x:v>Klarna</x:v>
      </x:c>
      <x:c r="D18" s="22" t="str">
        <x:v>Klarna</x:v>
      </x:c>
      <x:c r="E18" s="22" t="str">
        <x:v>スウェーデン／グローバル</x:v>
      </x:c>
      <x:c r="F18" s="22" t="str">
        <x:v>AI＋社内／外部の人間窓口（国別非開示）</x:v>
      </x:c>
      <x:c r="G18" s="22" t="str">
        <x:v>BPO需要削減</x:v>
      </x:c>
      <x:c r="H18" s="22" t="str">
        <x:v>顧客チャット</x:v>
      </x:c>
      <x:c r="I18" s="22" t="str">
        <x:v>定型問い合わせ、注文・配送・支払い案内</x:v>
      </x:c>
      <x:c r="J18" s="22" t="str">
        <x:v>本人確認、不正利用、複雑・高リスク案件</x:v>
      </x:c>
      <x:c r="K18" s="22" t="str">
        <x:v>2025年チャット80%、700人超相当、2024年3,900万ドル削減</x:v>
      </x:c>
      <x:c r="L18" s="22" t="str">
        <x:v>外部発注量を削り、人間を高難度へ集中</x:v>
      </x:c>
      <x:c r="M18" s="26" t="str">
        <x:v>A</x:v>
      </x:c>
      <x:c r="N18" s="24" t="str">
        <x:v>https://www.sec.gov/Archives/edgar/data/2003292/000200329226000007/klar-20251231.htm</x:v>
      </x:c>
      <x:c r="O18" s="24" t="str">
        <x:v>https://apnews.com/article/ca87ae77d7c6797ebb2628bd1b532929</x:v>
      </x:c>
      <x:c r="P18" s="22" t="str">
        <x:v>年次報告書とAP。完全無人化ではなく人間窓口も維持。</x:v>
      </x:c>
    </x:row>
  </x:sheetData>
  <x:mergeCells>
    <x:mergeCell ref="A1:P2"/>
    <x:mergeCell ref="A3:P3"/>
  </x:mergeCells>
  <x:pageMargins left="0.7" right="0.7" top="0.75" bottom="0.75" header="0.3" footer="0.3"/>
  <x:tableParts count="1">
    <x:tablePart xmlns:r="http://schemas.openxmlformats.org/officeDocument/2006/relationships" r:id="Rcd91785fd8ae43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7" hidden="0" customWidth="1"/>
    <x:col min="3" max="3" width="24" hidden="0" customWidth="1"/>
    <x:col min="4" max="4" width="27" hidden="0" customWidth="1"/>
    <x:col min="5" max="5" width="29" hidden="0" customWidth="1"/>
    <x:col min="6" max="6" width="28" hidden="0" customWidth="1"/>
    <x:col min="7" max="7" width="27" hidden="0" customWidth="1"/>
    <x:col min="8" max="8" width="12" hidden="0" customWidth="1"/>
    <x:col min="9" max="9" width="31" hidden="0" customWidth="1"/>
  </x:cols>
  <x:sheetData>
    <x:row r="1">
      <x:c r="A1" s="5" t="str">
        <x:v>国・地域別に見る AI×BPO の役割</x:v>
      </x:c>
      <x:c r="B1" s="5" t="str">
        <x:v>国・地域別に見る AI×BPO の役割</x:v>
      </x:c>
      <x:c r="C1" s="5" t="str">
        <x:v>国・地域別に見る AI×BPO の役割</x:v>
      </x:c>
      <x:c r="D1" s="5" t="str">
        <x:v>国・地域別に見る AI×BPO の役割</x:v>
      </x:c>
      <x:c r="E1" s="5" t="str">
        <x:v>国・地域別に見る AI×BPO の役割</x:v>
      </x:c>
      <x:c r="F1" s="5" t="str">
        <x:v>国・地域別に見る AI×BPO の役割</x:v>
      </x:c>
      <x:c r="G1" s="5" t="str">
        <x:v>国・地域別に見る AI×BPO の役割</x:v>
      </x:c>
      <x:c r="H1" s="5" t="str">
        <x:v>国・地域別に見る AI×BPO の役割</x:v>
      </x:c>
      <x:c r="I1" s="5" t="str">
        <x:v>国・地域別に見る AI×BPO の役割</x:v>
      </x:c>
    </x:row>
    <x:row r="2">
      <x:c r="A2" s="5" t="str">
        <x:v>国・地域別に見る AI×BPO の役割</x:v>
      </x:c>
      <x:c r="B2" s="5" t="str">
        <x:v>国・地域別に見る AI×BPO の役割</x:v>
      </x:c>
      <x:c r="C2" s="5" t="str">
        <x:v>国・地域別に見る AI×BPO の役割</x:v>
      </x:c>
      <x:c r="D2" s="5" t="str">
        <x:v>国・地域別に見る AI×BPO の役割</x:v>
      </x:c>
      <x:c r="E2" s="5" t="str">
        <x:v>国・地域別に見る AI×BPO の役割</x:v>
      </x:c>
      <x:c r="F2" s="5" t="str">
        <x:v>国・地域別に見る AI×BPO の役割</x:v>
      </x:c>
      <x:c r="G2" s="5" t="str">
        <x:v>国・地域別に見る AI×BPO の役割</x:v>
      </x:c>
      <x:c r="H2" s="5" t="str">
        <x:v>国・地域別に見る AI×BPO の役割</x:v>
      </x:c>
      <x:c r="I2" s="5" t="str">
        <x:v>国・地域別に見る AI×BPO の役割</x:v>
      </x:c>
    </x:row>
    <x:row r="3">
      <x:c r="A3" s="10" t="str">
        <x:v>「安い場所」ではなく、人材集積・言語・時差・業界知識・AI運用能力の組み合わせで整理。該当事例数は事例一覧から自動集計。</x:v>
      </x:c>
      <x:c r="B3" s="10" t="str">
        <x:v>「安い場所」ではなく、人材集積・言語・時差・業界知識・AI運用能力の組み合わせで整理。該当事例数は事例一覧から自動集計。</x:v>
      </x:c>
      <x:c r="C3" s="10" t="str">
        <x:v>「安い場所」ではなく、人材集積・言語・時差・業界知識・AI運用能力の組み合わせで整理。該当事例数は事例一覧から自動集計。</x:v>
      </x:c>
      <x:c r="D3" s="10" t="str">
        <x:v>「安い場所」ではなく、人材集積・言語・時差・業界知識・AI運用能力の組み合わせで整理。該当事例数は事例一覧から自動集計。</x:v>
      </x:c>
      <x:c r="E3" s="10" t="str">
        <x:v>「安い場所」ではなく、人材集積・言語・時差・業界知識・AI運用能力の組み合わせで整理。該当事例数は事例一覧から自動集計。</x:v>
      </x:c>
      <x:c r="F3" s="10" t="str">
        <x:v>「安い場所」ではなく、人材集積・言語・時差・業界知識・AI運用能力の組み合わせで整理。該当事例数は事例一覧から自動集計。</x:v>
      </x:c>
      <x:c r="G3" s="10" t="str">
        <x:v>「安い場所」ではなく、人材集積・言語・時差・業界知識・AI運用能力の組み合わせで整理。該当事例数は事例一覧から自動集計。</x:v>
      </x:c>
      <x:c r="H3" s="10" t="str">
        <x:v>「安い場所」ではなく、人材集積・言語・時差・業界知識・AI運用能力の組み合わせで整理。該当事例数は事例一覧から自動集計。</x:v>
      </x:c>
      <x:c r="I3" s="10" t="str">
        <x:v>「安い場所」ではなく、人材集積・言語・時差・業界知識・AI運用能力の組み合わせで整理。該当事例数は事例一覧から自動集計。</x:v>
      </x:c>
    </x:row>
    <x:row r="5">
      <x:c r="A5" s="16" t="str">
        <x:v>国・地域</x:v>
      </x:c>
      <x:c r="B5" s="16" t="str">
        <x:v>主な役割</x:v>
      </x:c>
      <x:c r="C5" s="16" t="str">
        <x:v>典型的発注元</x:v>
      </x:c>
      <x:c r="D5" s="16" t="str">
        <x:v>AIが加える効果</x:v>
      </x:c>
      <x:c r="E5" s="16" t="str">
        <x:v>強み</x:v>
      </x:c>
      <x:c r="F5" s="16" t="str">
        <x:v>主なリスク</x:v>
      </x:c>
      <x:c r="G5" s="16" t="str">
        <x:v>代表事例</x:v>
      </x:c>
      <x:c r="H5" s="16" t="str">
        <x:v>該当事例数</x:v>
      </x:c>
      <x:c r="I5" s="16" t="str">
        <x:v>日本への示唆</x:v>
      </x:c>
    </x:row>
    <x:row r="6" ht="92" customHeight="1">
      <x:c r="A6" s="22" t="str">
        <x:v>インド</x:v>
      </x:c>
      <x:c r="B6" s="22" t="str">
        <x:v>医療・保険・経理・分析・開発</x:v>
      </x:c>
      <x:c r="C6" s="22" t="str">
        <x:v>米国・欧州・グローバル企業</x:v>
      </x:c>
      <x:c r="D6" s="22" t="str">
        <x:v>高度業務の標準化、翻訳、判断支援</x:v>
      </x:c>
      <x:c r="E6" s="22" t="str">
        <x:v>英語人材、大規模技術人材、業界知識、拠点集積</x:v>
      </x:c>
      <x:c r="F6" s="22" t="str">
        <x:v>賃金上昇、品質ばらつき、顧客データ規制</x:v>
      </x:c>
      <x:c r="G6" s="22" t="str">
        <x:v>Foundever小売／Genpact／Access／IKS／TaskUs</x:v>
      </x:c>
      <x:c r="H6" s="44" t="n">
        <x:f>SUM($B$14:$B$26)</x:f>
        <x:v>7</x:v>
      </x:c>
      <x:c r="I6" s="22" t="str">
        <x:v>日本は業務設計・品質責任を握り、実行を連携</x:v>
      </x:c>
    </x:row>
    <x:row r="7" ht="92" customHeight="1">
      <x:c r="A7" s="22" t="str">
        <x:v>フィリピン</x:v>
      </x:c>
      <x:c r="B7" s="22" t="str">
        <x:v>音声・CX・医療事務・AI監督</x:v>
      </x:c>
      <x:c r="C7" s="22" t="str">
        <x:v>米国・グローバル企業</x:v>
      </x:c>
      <x:c r="D7" s="22" t="str">
        <x:v>会話支援、要約、品質監視、正常系自動化</x:v>
      </x:c>
      <x:c r="E7" s="22" t="str">
        <x:v>英語、サービス文化、大量運用、人材プール</x:v>
      </x:c>
      <x:c r="F7" s="22" t="str">
        <x:v>単純音声業務の自動化、電力・回線、賃金競争</x:v>
      </x:c>
      <x:c r="G7" s="22" t="str">
        <x:v>Foundever／TP／WNS／Access</x:v>
      </x:c>
      <x:c r="H7" s="44" t="n">
        <x:f>SUM($C$14:$C$26)</x:f>
        <x:v>6</x:v>
      </x:c>
      <x:c r="I7" s="22" t="str">
        <x:v>対人品質とAI監督を組み合わせる</x:v>
      </x:c>
    </x:row>
    <x:row r="8" ht="92" customHeight="1">
      <x:c r="A8" s="22" t="str">
        <x:v>中南米</x:v>
      </x:c>
      <x:c r="B8" s="22" t="str">
        <x:v>CX、販売、解約抑止、リアルタイム連携</x:v>
      </x:c>
      <x:c r="C8" s="22" t="str">
        <x:v>米国・中南米域内</x:v>
      </x:c>
      <x:c r="D8" s="22" t="str">
        <x:v>音声分析、コパイロット、自動QA</x:v>
      </x:c>
      <x:c r="E8" s="22" t="str">
        <x:v>米国との時差、英語／スペイン語、文化距離</x:v>
      </x:c>
      <x:c r="F8" s="22" t="str">
        <x:v>国別制度差、言語品質、治安・政治リスク</x:v>
      </x:c>
      <x:c r="G8" s="22" t="str">
        <x:v>Foundever／TP／Konecta</x:v>
      </x:c>
      <x:c r="H8" s="44" t="n">
        <x:f>SUM($D$14:$D$26)</x:f>
        <x:v>4</x:v>
      </x:c>
      <x:c r="I8" s="22" t="str">
        <x:v>ニアショアの俊敏性を活かす</x:v>
      </x:c>
    </x:row>
    <x:row r="9" ht="92" customHeight="1">
      <x:c r="A9" s="22" t="str">
        <x:v>アフリカ（主にケニア）</x:v>
      </x:c>
      <x:c r="B9" s="22" t="str">
        <x:v>教師データ、安全性評価、データ運用</x:v>
      </x:c>
      <x:c r="C9" s="22" t="str">
        <x:v>米国・豪州など</x:v>
      </x:c>
      <x:c r="D9" s="22" t="str">
        <x:v>ラベル候補、品質管理、分散作業</x:v>
      </x:c>
      <x:c r="E9" s="22" t="str">
        <x:v>若い人材、英語、コスト、AIデータ経験</x:v>
      </x:c>
      <x:c r="F9" s="22" t="str">
        <x:v>低賃金・心理負担・調達倫理</x:v>
      </x:c>
      <x:c r="G9" s="22" t="str">
        <x:v>CloudFactory／OpenAI-Sama</x:v>
      </x:c>
      <x:c r="H9" s="44" t="n">
        <x:f>SUM($E$14:$E$26)</x:f>
        <x:v>2</x:v>
      </x:c>
      <x:c r="I9" s="22" t="str">
        <x:v>価格だけでなく安全・賃金を契約条件にする</x:v>
      </x:c>
    </x:row>
    <x:row r="10" ht="92" customHeight="1">
      <x:c r="A10" s="22" t="str">
        <x:v>ネパール</x:v>
      </x:c>
      <x:c r="B10" s="22" t="str">
        <x:v>地理空間データ、教師データ</x:v>
      </x:c>
      <x:c r="C10" s="22" t="str">
        <x:v>豪州・欧米</x:v>
      </x:c>
      <x:c r="D10" s="22" t="str">
        <x:v>画像処理、候補提示、作業配分</x:v>
      </x:c>
      <x:c r="E10" s="22" t="str">
        <x:v>データ作業の集積、分散チーム運用</x:v>
      </x:c>
      <x:c r="F10" s="22" t="str">
        <x:v>案件変動、専門人材育成、実行国の透明性</x:v>
      </x:c>
      <x:c r="G10" s="22" t="str">
        <x:v>CloudFactory × Nearmap</x:v>
      </x:c>
      <x:c r="H10" s="44" t="n">
        <x:f>SUM($F$14:$F$26)</x:f>
        <x:v>1</x:v>
      </x:c>
      <x:c r="I10" s="22" t="str">
        <x:v>AI開発工程の国際分業を設計する</x:v>
      </x:c>
    </x:row>
    <x:row r="12">
      <x:c r="A12" s="34" t="str">
        <x:v>地域タグ（該当事例数の集計根拠）</x:v>
      </x:c>
      <x:c r="B12" s="34" t="str">
        <x:v>地域タグ（該当事例数の集計根拠）</x:v>
      </x:c>
      <x:c r="C12" s="34" t="str">
        <x:v>地域タグ（該当事例数の集計根拠）</x:v>
      </x:c>
      <x:c r="D12" s="34" t="str">
        <x:v>地域タグ（該当事例数の集計根拠）</x:v>
      </x:c>
      <x:c r="E12" s="34" t="str">
        <x:v>地域タグ（該当事例数の集計根拠）</x:v>
      </x:c>
      <x:c r="F12" s="34" t="str">
        <x:v>地域タグ（該当事例数の集計根拠）</x:v>
      </x:c>
    </x:row>
    <x:row r="13">
      <x:c r="A13" s="16" t="str">
        <x:v>事例No.</x:v>
      </x:c>
      <x:c r="B13" s="16" t="str">
        <x:v>インド</x:v>
      </x:c>
      <x:c r="C13" s="16" t="str">
        <x:v>フィリピン</x:v>
      </x:c>
      <x:c r="D13" s="16" t="str">
        <x:v>中南米</x:v>
      </x:c>
      <x:c r="E13" s="16" t="str">
        <x:v>ケニア</x:v>
      </x:c>
      <x:c r="F13" s="16" t="str">
        <x:v>ネパール</x:v>
      </x:c>
    </x:row>
    <x:row r="14" ht="20" customHeight="1">
      <x:c r="A14" s="40" t="n">
        <x:v>1</x:v>
      </x:c>
      <x:c r="B14" s="40" t="n">
        <x:v>0</x:v>
      </x:c>
      <x:c r="C14" s="40" t="n">
        <x:v>1</x:v>
      </x:c>
      <x:c r="D14" s="40" t="n">
        <x:v>1</x:v>
      </x:c>
      <x:c r="E14" s="40" t="n">
        <x:v>0</x:v>
      </x:c>
      <x:c r="F14" s="40" t="n">
        <x:v>0</x:v>
      </x:c>
    </x:row>
    <x:row r="15" ht="20" customHeight="1">
      <x:c r="A15" s="40" t="n">
        <x:v>2</x:v>
      </x:c>
      <x:c r="B15" s="40" t="n">
        <x:v>1</x:v>
      </x:c>
      <x:c r="C15" s="40" t="n">
        <x:v>1</x:v>
      </x:c>
      <x:c r="D15" s="40" t="n">
        <x:v>1</x:v>
      </x:c>
      <x:c r="E15" s="40" t="n">
        <x:v>0</x:v>
      </x:c>
      <x:c r="F15" s="40" t="n">
        <x:v>0</x:v>
      </x:c>
    </x:row>
    <x:row r="16" ht="20" customHeight="1">
      <x:c r="A16" s="40" t="n">
        <x:v>3</x:v>
      </x:c>
      <x:c r="B16" s="40" t="n">
        <x:v>1</x:v>
      </x:c>
      <x:c r="C16" s="40" t="n">
        <x:v>1</x:v>
      </x:c>
      <x:c r="D16" s="40" t="n">
        <x:v>1</x:v>
      </x:c>
      <x:c r="E16" s="40" t="n">
        <x:v>0</x:v>
      </x:c>
      <x:c r="F16" s="40" t="n">
        <x:v>0</x:v>
      </x:c>
    </x:row>
    <x:row r="17" ht="20" customHeight="1">
      <x:c r="A17" s="40" t="n">
        <x:v>4</x:v>
      </x:c>
      <x:c r="B17" s="40" t="n">
        <x:v>1</x:v>
      </x:c>
      <x:c r="C17" s="40" t="n">
        <x:v>0</x:v>
      </x:c>
      <x:c r="D17" s="40" t="n">
        <x:v>0</x:v>
      </x:c>
      <x:c r="E17" s="40" t="n">
        <x:v>0</x:v>
      </x:c>
      <x:c r="F17" s="40" t="n">
        <x:v>0</x:v>
      </x:c>
    </x:row>
    <x:row r="18" ht="20" customHeight="1">
      <x:c r="A18" s="40" t="n">
        <x:v>5</x:v>
      </x:c>
      <x:c r="B18" s="40" t="n">
        <x:v>1</x:v>
      </x:c>
      <x:c r="C18" s="40" t="n">
        <x:v>1</x:v>
      </x:c>
      <x:c r="D18" s="40" t="n">
        <x:v>0</x:v>
      </x:c>
      <x:c r="E18" s="40" t="n">
        <x:v>0</x:v>
      </x:c>
      <x:c r="F18" s="40" t="n">
        <x:v>0</x:v>
      </x:c>
    </x:row>
    <x:row r="19" ht="20" customHeight="1">
      <x:c r="A19" s="40" t="n">
        <x:v>6</x:v>
      </x:c>
      <x:c r="B19" s="40" t="n">
        <x:v>1</x:v>
      </x:c>
      <x:c r="C19" s="40" t="n">
        <x:v>1</x:v>
      </x:c>
      <x:c r="D19" s="40" t="n">
        <x:v>0</x:v>
      </x:c>
      <x:c r="E19" s="40" t="n">
        <x:v>0</x:v>
      </x:c>
      <x:c r="F19" s="40" t="n">
        <x:v>0</x:v>
      </x:c>
    </x:row>
    <x:row r="20" ht="20" customHeight="1">
      <x:c r="A20" s="40" t="n">
        <x:v>7</x:v>
      </x:c>
      <x:c r="B20" s="40" t="n">
        <x:v>1</x:v>
      </x:c>
      <x:c r="C20" s="40" t="n">
        <x:v>0</x:v>
      </x:c>
      <x:c r="D20" s="40" t="n">
        <x:v>0</x:v>
      </x:c>
      <x:c r="E20" s="40" t="n">
        <x:v>0</x:v>
      </x:c>
      <x:c r="F20" s="40" t="n">
        <x:v>0</x:v>
      </x:c>
    </x:row>
    <x:row r="21" ht="20" customHeight="1">
      <x:c r="A21" s="40" t="n">
        <x:v>8</x:v>
      </x:c>
      <x:c r="B21" s="40" t="n">
        <x:v>0</x:v>
      </x:c>
      <x:c r="C21" s="40" t="n">
        <x:v>0</x:v>
      </x:c>
      <x:c r="D21" s="40" t="n">
        <x:v>1</x:v>
      </x:c>
      <x:c r="E21" s="40" t="n">
        <x:v>0</x:v>
      </x:c>
      <x:c r="F21" s="40" t="n">
        <x:v>0</x:v>
      </x:c>
    </x:row>
    <x:row r="22" ht="20" customHeight="1">
      <x:c r="A22" s="40" t="n">
        <x:v>9</x:v>
      </x:c>
      <x:c r="B22" s="40" t="n">
        <x:v>1</x:v>
      </x:c>
      <x:c r="C22" s="40" t="n">
        <x:v>1</x:v>
      </x:c>
      <x:c r="D22" s="40" t="n">
        <x:v>0</x:v>
      </x:c>
      <x:c r="E22" s="40" t="n">
        <x:v>0</x:v>
      </x:c>
      <x:c r="F22" s="40" t="n">
        <x:v>0</x:v>
      </x:c>
    </x:row>
    <x:row r="23" ht="20" customHeight="1">
      <x:c r="A23" s="40" t="n">
        <x:v>10</x:v>
      </x:c>
      <x:c r="B23" s="40" t="n">
        <x:v>0</x:v>
      </x:c>
      <x:c r="C23" s="40" t="n">
        <x:v>0</x:v>
      </x:c>
      <x:c r="D23" s="40" t="n">
        <x:v>0</x:v>
      </x:c>
      <x:c r="E23" s="40" t="n">
        <x:v>1</x:v>
      </x:c>
      <x:c r="F23" s="40" t="n">
        <x:v>1</x:v>
      </x:c>
    </x:row>
    <x:row r="24" ht="20" customHeight="1">
      <x:c r="A24" s="40" t="n">
        <x:v>11</x:v>
      </x:c>
      <x:c r="B24" s="40" t="n">
        <x:v>0</x:v>
      </x:c>
      <x:c r="C24" s="40" t="n">
        <x:v>0</x:v>
      </x:c>
      <x:c r="D24" s="40" t="n">
        <x:v>0</x:v>
      </x:c>
      <x:c r="E24" s="40" t="n">
        <x:v>0</x:v>
      </x:c>
      <x:c r="F24" s="40" t="n">
        <x:v>0</x:v>
      </x:c>
    </x:row>
    <x:row r="25" ht="20" customHeight="1">
      <x:c r="A25" s="40" t="n">
        <x:v>12</x:v>
      </x:c>
      <x:c r="B25" s="40" t="n">
        <x:v>0</x:v>
      </x:c>
      <x:c r="C25" s="40" t="n">
        <x:v>0</x:v>
      </x:c>
      <x:c r="D25" s="40" t="n">
        <x:v>0</x:v>
      </x:c>
      <x:c r="E25" s="40" t="n">
        <x:v>1</x:v>
      </x:c>
      <x:c r="F25" s="40" t="n">
        <x:v>0</x:v>
      </x:c>
    </x:row>
    <x:row r="26" ht="20" customHeight="1">
      <x:c r="A26" s="40" t="n">
        <x:v>13</x:v>
      </x:c>
      <x:c r="B26" s="40" t="n">
        <x:v>0</x:v>
      </x:c>
      <x:c r="C26" s="40" t="n">
        <x:v>0</x:v>
      </x:c>
      <x:c r="D26" s="40" t="n">
        <x:v>0</x:v>
      </x:c>
      <x:c r="E26" s="40" t="n">
        <x:v>0</x:v>
      </x:c>
      <x:c r="F26" s="40" t="n">
        <x:v>0</x:v>
      </x:c>
    </x:row>
  </x:sheetData>
  <x:mergeCells>
    <x:mergeCell ref="A1:I2"/>
    <x:mergeCell ref="A3:I3"/>
    <x:mergeCell ref="A12:F12"/>
  </x:mergeCells>
  <x:pageMargins left="0.7" right="0.7" top="0.75" bottom="0.75" header="0.3" footer="0.3"/>
  <x:tableParts count="1">
    <x:tablePart xmlns:r="http://schemas.openxmlformats.org/officeDocument/2006/relationships" r:id="Rc9f5ed2219824e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34" hidden="0" customWidth="1"/>
    <x:col min="3" max="3" width="36" hidden="0" customWidth="1"/>
    <x:col min="4" max="4" width="25" hidden="0" customWidth="1"/>
    <x:col min="5" max="5" width="31" hidden="0" customWidth="1"/>
    <x:col min="6" max="6" width="40" hidden="0" customWidth="1"/>
    <x:col min="7" max="7" width="34" hidden="0" customWidth="1"/>
  </x:cols>
  <x:sheetData>
    <x:row r="1">
      <x:c r="A1" s="5" t="str">
        <x:v>画像11枚の構成と対応事例</x:v>
      </x:c>
      <x:c r="B1" s="5" t="str">
        <x:v>画像11枚の構成と対応事例</x:v>
      </x:c>
      <x:c r="C1" s="5" t="str">
        <x:v>画像11枚の構成と対応事例</x:v>
      </x:c>
      <x:c r="D1" s="5" t="str">
        <x:v>画像11枚の構成と対応事例</x:v>
      </x:c>
      <x:c r="E1" s="5" t="str">
        <x:v>画像11枚の構成と対応事例</x:v>
      </x:c>
      <x:c r="F1" s="5" t="str">
        <x:v>画像11枚の構成と対応事例</x:v>
      </x:c>
      <x:c r="G1" s="5" t="str">
        <x:v>画像11枚の構成と対応事例</x:v>
      </x:c>
    </x:row>
    <x:row r="2">
      <x:c r="A2" s="5" t="str">
        <x:v>画像11枚の構成と対応事例</x:v>
      </x:c>
      <x:c r="B2" s="5" t="str">
        <x:v>画像11枚の構成と対応事例</x:v>
      </x:c>
      <x:c r="C2" s="5" t="str">
        <x:v>画像11枚の構成と対応事例</x:v>
      </x:c>
      <x:c r="D2" s="5" t="str">
        <x:v>画像11枚の構成と対応事例</x:v>
      </x:c>
      <x:c r="E2" s="5" t="str">
        <x:v>画像11枚の構成と対応事例</x:v>
      </x:c>
      <x:c r="F2" s="5" t="str">
        <x:v>画像11枚の構成と対応事例</x:v>
      </x:c>
      <x:c r="G2" s="5" t="str">
        <x:v>画像11枚の構成と対応事例</x:v>
      </x:c>
    </x:row>
    <x:row r="3">
      <x:c r="A3" s="10" t="str">
        <x:v>画像は同じフォルダの images 配下。Excelとフォルダ構造を保ったまま別PCへ移せる。</x:v>
      </x:c>
      <x:c r="B3" s="10" t="str">
        <x:v>画像は同じフォルダの images 配下。Excelとフォルダ構造を保ったまま別PCへ移せる。</x:v>
      </x:c>
      <x:c r="C3" s="10" t="str">
        <x:v>画像は同じフォルダの images 配下。Excelとフォルダ構造を保ったまま別PCへ移せる。</x:v>
      </x:c>
      <x:c r="D3" s="10" t="str">
        <x:v>画像は同じフォルダの images 配下。Excelとフォルダ構造を保ったまま別PCへ移せる。</x:v>
      </x:c>
      <x:c r="E3" s="10" t="str">
        <x:v>画像は同じフォルダの images 配下。Excelとフォルダ構造を保ったまま別PCへ移せる。</x:v>
      </x:c>
      <x:c r="F3" s="10" t="str">
        <x:v>画像は同じフォルダの images 配下。Excelとフォルダ構造を保ったまま別PCへ移せる。</x:v>
      </x:c>
      <x:c r="G3" s="10" t="str">
        <x:v>画像は同じフォルダの images 配下。Excelとフォルダ構造を保ったまま別PCへ移せる。</x:v>
      </x:c>
    </x:row>
    <x:row r="5">
      <x:c r="A5" s="16" t="str">
        <x:v>No.</x:v>
      </x:c>
      <x:c r="B5" s="16" t="str">
        <x:v>ファイル</x:v>
      </x:c>
      <x:c r="C5" s="16" t="str">
        <x:v>タイトル</x:v>
      </x:c>
      <x:c r="D5" s="16" t="str">
        <x:v>目的</x:v>
      </x:c>
      <x:c r="E5" s="16" t="str">
        <x:v>収録事例</x:v>
      </x:c>
      <x:c r="F5" s="16" t="str">
        <x:v>キーメッセージ</x:v>
      </x:c>
      <x:c r="G5" s="16" t="str">
        <x:v>主な出典</x:v>
      </x:c>
    </x:row>
    <x:row r="6" ht="62" customHeight="1">
      <x:c r="A6" s="23" t="n">
        <x:v>1</x:v>
      </x:c>
      <x:c r="B6" s="45" t="str">
        <x:v>images/01-cover.png</x:v>
      </x:c>
      <x:c r="C6" s="22" t="str">
        <x:v>AIでBPOは消えるのか？</x:v>
      </x:c>
      <x:c r="D6" s="22" t="str">
        <x:v>全体の問いを提示</x:v>
      </x:c>
      <x:c r="E6" s="22" t="str">
        <x:v>全13事例</x:v>
      </x:c>
      <x:c r="F6" s="22" t="str">
        <x:v>BPO消滅ではなく、仕事と単価の再編</x:v>
      </x:c>
      <x:c r="G6" s="22" t="str">
        <x:v>全出典</x:v>
      </x:c>
    </x:row>
    <x:row r="7" ht="62" customHeight="1">
      <x:c r="A7" s="23" t="n">
        <x:v>2</x:v>
      </x:c>
      <x:c r="B7" s="45" t="str">
        <x:v>images/02-three-models.png</x:v>
      </x:c>
      <x:c r="C7" s="22" t="str">
        <x:v>AI×BPOは3つの方向へ</x:v>
      </x:c>
      <x:c r="D7" s="22" t="str">
        <x:v>分析フレーム</x:v>
      </x:c>
      <x:c r="E7" s="22" t="str">
        <x:v>全13事例</x:v>
      </x:c>
      <x:c r="F7" s="22" t="str">
        <x:v>高度化／AIを作る／発注削減の3モデル</x:v>
      </x:c>
      <x:c r="G7" s="22" t="str">
        <x:v>全出典</x:v>
      </x:c>
    </x:row>
    <x:row r="8" ht="62" customHeight="1">
      <x:c r="A8" s="23" t="n">
        <x:v>3</x:v>
      </x:c>
      <x:c r="B8" s="45" t="str">
        <x:v>images/03-global-routes.png</x:v>
      </x:c>
      <x:c r="C8" s="22" t="str">
        <x:v>AI×BPOのグローバル発注地図</x:v>
      </x:c>
      <x:c r="D8" s="22" t="str">
        <x:v>発注・実行ルートを俯瞰</x:v>
      </x:c>
      <x:c r="E8" s="22" t="str">
        <x:v>全13事例</x:v>
      </x:c>
      <x:c r="F8" s="22" t="str">
        <x:v>AIが言語・教育・品質管理を補い、移管範囲が拡大</x:v>
      </x:c>
      <x:c r="G8" s="22" t="str">
        <x:v>事例一覧参照</x:v>
      </x:c>
    </x:row>
    <x:row r="9" ht="62" customHeight="1">
      <x:c r="A9" s="23" t="n">
        <x:v>4</x:v>
      </x:c>
      <x:c r="B9" s="45" t="str">
        <x:v>images/04-customer-service-bpo.png</x:v>
      </x:c>
      <x:c r="C9" s="22" t="str">
        <x:v>顧客対応BPOは「AI＋人」へ</x:v>
      </x:c>
      <x:c r="D9" s="22" t="str">
        <x:v>CXの変化を具体化</x:v>
      </x:c>
      <x:c r="E9" s="22" t="str">
        <x:v>Foundever／TP＋Sanas／Konecta</x:v>
      </x:c>
      <x:c r="F9" s="22" t="str">
        <x:v>人は例外・説得・改善へ</x:v>
      </x:c>
      <x:c r="G9" s="22" t="str">
        <x:v>Foundever／Sanas／Konecta</x:v>
      </x:c>
    </x:row>
    <x:row r="10" ht="62" customHeight="1">
      <x:c r="A10" s="23" t="n">
        <x:v>5</x:v>
      </x:c>
      <x:c r="B10" s="45" t="str">
        <x:v>images/05-back-office-bpo.png</x:v>
      </x:c>
      <x:c r="C10" s="22" t="str">
        <x:v>AIが「移管できる仕事」を増やす</x:v>
      </x:c>
      <x:c r="D10" s="22" t="str">
        <x:v>バックオフィスの変化</x:v>
      </x:c>
      <x:c r="E10" s="22" t="str">
        <x:v>Genpact／WNS</x:v>
      </x:c>
      <x:c r="F10" s="22" t="str">
        <x:v>言語の壁と業務分断をAIで吸収</x:v>
      </x:c>
      <x:c r="G10" s="22" t="str">
        <x:v>Genpact／WNS</x:v>
      </x:c>
    </x:row>
    <x:row r="11" ht="62" customHeight="1">
      <x:c r="A11" s="23" t="n">
        <x:v>6</x:v>
      </x:c>
      <x:c r="B11" s="45" t="str">
        <x:v>images/06-healthcare-bpo.png</x:v>
      </x:c>
      <x:c r="C11" s="22" t="str">
        <x:v>米国の医療事務は、インドへ深く移る</x:v>
      </x:c>
      <x:c r="D11" s="22" t="str">
        <x:v>医療工程と役割分担</x:v>
      </x:c>
      <x:c r="E11" s="22" t="str">
        <x:v>IKS Health／Access Healthcare</x:v>
      </x:c>
      <x:c r="F11" s="22" t="str">
        <x:v>AIが正常系、人間が医療判断と例外</x:v>
      </x:c>
      <x:c r="G11" s="22" t="str">
        <x:v>IKS／Google Cloud／Access</x:v>
      </x:c>
    </x:row>
    <x:row r="12" ht="62" customHeight="1">
      <x:c r="A12" s="23" t="n">
        <x:v>7</x:v>
      </x:c>
      <x:c r="B12" s="45" t="str">
        <x:v>images/07-ai-training-bpo.png</x:v>
      </x:c>
      <x:c r="C12" s="22" t="str">
        <x:v>AIを作るためにも、人が要る</x:v>
      </x:c>
      <x:c r="D12" s="22" t="str">
        <x:v>AIサプライチェーン</x:v>
      </x:c>
      <x:c r="E12" s="22" t="str">
        <x:v>TaskUs／CloudFactory／Invisible</x:v>
      </x:c>
      <x:c r="F12" s="22" t="str">
        <x:v>単純ラベルから専門評価・AI安全性へ</x:v>
      </x:c>
      <x:c r="G12" s="22" t="str">
        <x:v>TaskUs／CloudFactory／Invisible</x:v>
      </x:c>
    </x:row>
    <x:row r="13" ht="62" customHeight="1">
      <x:c r="A13" s="23" t="n">
        <x:v>8</x:v>
      </x:c>
      <x:c r="B13" s="45" t="str">
        <x:v>images/08-invisible-labor-ethics.png</x:v>
      </x:c>
      <x:c r="C13" s="22" t="str">
        <x:v>AIの裏側にある「見えない労働」</x:v>
      </x:c>
      <x:c r="D13" s="22" t="str">
        <x:v>倫理・調達責任</x:v>
      </x:c>
      <x:c r="E13" s="22" t="str">
        <x:v>OpenAI／Sama</x:v>
      </x:c>
      <x:c r="F13" s="22" t="str">
        <x:v>発注元にも賃金・安全・心理ケアの責任</x:v>
      </x:c>
      <x:c r="G13" s="22" t="str">
        <x:v>TIME 2023</x:v>
      </x:c>
    </x:row>
    <x:row r="14" ht="62" customHeight="1">
      <x:c r="A14" s="23" t="n">
        <x:v>9</x:v>
      </x:c>
      <x:c r="B14" s="45" t="str">
        <x:v>images/09-klarna-bpo-reduction.png</x:v>
      </x:c>
      <x:c r="C14" s="22" t="str">
        <x:v>AIがBPO発注を直接削る</x:v>
      </x:c>
      <x:c r="D14" s="22" t="str">
        <x:v>需要減少ケース</x:v>
      </x:c>
      <x:c r="E14" s="22" t="str">
        <x:v>Klarna</x:v>
      </x:c>
      <x:c r="F14" s="22" t="str">
        <x:v>少数・高難度の人間へ</x:v>
      </x:c>
      <x:c r="G14" s="22" t="str">
        <x:v>Klarna Annual Report／AP</x:v>
      </x:c>
    </x:row>
    <x:row r="15" ht="62" customHeight="1">
      <x:c r="A15" s="23" t="n">
        <x:v>10</x:v>
      </x:c>
      <x:c r="B15" s="45" t="str">
        <x:v>images/10-country-roles.png</x:v>
      </x:c>
      <x:c r="C15" s="22" t="str">
        <x:v>国ごとに、AI時代の得意分野が分かれる</x:v>
      </x:c>
      <x:c r="D15" s="22" t="str">
        <x:v>国別ポジション整理</x:v>
      </x:c>
      <x:c r="E15" s="22" t="str">
        <x:v>全13事例</x:v>
      </x:c>
      <x:c r="F15" s="22" t="str">
        <x:v>安さだけでなく、人材集積・言語・時差・業界知識</x:v>
      </x:c>
      <x:c r="G15" s="22" t="str">
        <x:v>事例一覧参照</x:v>
      </x:c>
    </x:row>
    <x:row r="16" ht="62" customHeight="1">
      <x:c r="A16" s="23" t="n">
        <x:v>11</x:v>
      </x:c>
      <x:c r="B16" s="45" t="str">
        <x:v>images/11-japan-strategy.png</x:v>
      </x:c>
      <x:c r="C16" s="22" t="str">
        <x:v>日本のBPOは、座席数から成果保証へ</x:v>
      </x:c>
      <x:c r="D16" s="22" t="str">
        <x:v>日本企業への示唆</x:v>
      </x:c>
      <x:c r="E16" s="22" t="str">
        <x:v>分析・提言</x:v>
      </x:c>
      <x:c r="F16" s="22" t="str">
        <x:v>日本品質×AI×海外人材で輸出サービス化</x:v>
      </x:c>
      <x:c r="G16" s="22" t="str">
        <x:v>本調査からの示唆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448eb48d503b4c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2" hidden="0" customWidth="1"/>
    <x:col min="3" max="3" width="20" hidden="0" customWidth="1"/>
    <x:col min="4" max="4" width="58" hidden="0" customWidth="1"/>
    <x:col min="5" max="5" width="42" hidden="0" customWidth="1"/>
    <x:col min="6" max="6" width="28" hidden="0" customWidth="1"/>
    <x:col min="7" max="7" width="14" hidden="0" customWidth="1"/>
    <x:col min="8" max="8" width="24" hidden="0" customWidth="1"/>
  </x:cols>
  <x:sheetData>
    <x:row r="1">
      <x:c r="A1" s="5" t="str">
        <x:v>出典URL一覧｜一次情報優先</x:v>
      </x:c>
      <x:c r="B1" s="5" t="str">
        <x:v>出典URL一覧｜一次情報優先</x:v>
      </x:c>
      <x:c r="C1" s="5" t="str">
        <x:v>出典URL一覧｜一次情報優先</x:v>
      </x:c>
      <x:c r="D1" s="5" t="str">
        <x:v>出典URL一覧｜一次情報優先</x:v>
      </x:c>
      <x:c r="E1" s="5" t="str">
        <x:v>出典URL一覧｜一次情報優先</x:v>
      </x:c>
      <x:c r="F1" s="5" t="str">
        <x:v>出典URL一覧｜一次情報優先</x:v>
      </x:c>
      <x:c r="G1" s="5" t="str">
        <x:v>出典URL一覧｜一次情報優先</x:v>
      </x:c>
      <x:c r="H1" s="5" t="str">
        <x:v>出典URL一覧｜一次情報優先</x:v>
      </x:c>
    </x:row>
    <x:row r="2">
      <x:c r="A2" s="5" t="str">
        <x:v>出典URL一覧｜一次情報優先</x:v>
      </x:c>
      <x:c r="B2" s="5" t="str">
        <x:v>出典URL一覧｜一次情報優先</x:v>
      </x:c>
      <x:c r="C2" s="5" t="str">
        <x:v>出典URL一覧｜一次情報優先</x:v>
      </x:c>
      <x:c r="D2" s="5" t="str">
        <x:v>出典URL一覧｜一次情報優先</x:v>
      </x:c>
      <x:c r="E2" s="5" t="str">
        <x:v>出典URL一覧｜一次情報優先</x:v>
      </x:c>
      <x:c r="F2" s="5" t="str">
        <x:v>出典URL一覧｜一次情報優先</x:v>
      </x:c>
      <x:c r="G2" s="5" t="str">
        <x:v>出典URL一覧｜一次情報優先</x:v>
      </x:c>
      <x:c r="H2" s="5" t="str">
        <x:v>出典URL一覧｜一次情報優先</x:v>
      </x:c>
    </x:row>
    <x:row r="3">
      <x:c r="A3" s="10" t="str">
        <x:v>企業公式ケース・公式プレスリリース・SEC提出資料を優先。報道は倫理論点や人間窓口の補足に限定。URLはコピーできるよう全文を収録。</x:v>
      </x:c>
      <x:c r="B3" s="10" t="str">
        <x:v>企業公式ケース・公式プレスリリース・SEC提出資料を優先。報道は倫理論点や人間窓口の補足に限定。URLはコピーできるよう全文を収録。</x:v>
      </x:c>
      <x:c r="C3" s="10" t="str">
        <x:v>企業公式ケース・公式プレスリリース・SEC提出資料を優先。報道は倫理論点や人間窓口の補足に限定。URLはコピーできるよう全文を収録。</x:v>
      </x:c>
      <x:c r="D3" s="10" t="str">
        <x:v>企業公式ケース・公式プレスリリース・SEC提出資料を優先。報道は倫理論点や人間窓口の補足に限定。URLはコピーできるよう全文を収録。</x:v>
      </x:c>
      <x:c r="E3" s="10" t="str">
        <x:v>企業公式ケース・公式プレスリリース・SEC提出資料を優先。報道は倫理論点や人間窓口の補足に限定。URLはコピーできるよう全文を収録。</x:v>
      </x:c>
      <x:c r="F3" s="10" t="str">
        <x:v>企業公式ケース・公式プレスリリース・SEC提出資料を優先。報道は倫理論点や人間窓口の補足に限定。URLはコピーできるよう全文を収録。</x:v>
      </x:c>
      <x:c r="G3" s="10" t="str">
        <x:v>企業公式ケース・公式プレスリリース・SEC提出資料を優先。報道は倫理論点や人間窓口の補足に限定。URLはコピーできるよう全文を収録。</x:v>
      </x:c>
      <x:c r="H3" s="10" t="str">
        <x:v>企業公式ケース・公式プレスリリース・SEC提出資料を優先。報道は倫理論点や人間窓口の補足に限定。URLはコピーできるよう全文を収録。</x:v>
      </x:c>
    </x:row>
    <x:row r="5">
      <x:c r="A5" s="16" t="str">
        <x:v>No.</x:v>
      </x:c>
      <x:c r="B5" s="16" t="str">
        <x:v>発行元</x:v>
      </x:c>
      <x:c r="C5" s="16" t="str">
        <x:v>種別</x:v>
      </x:c>
      <x:c r="D5" s="16" t="str">
        <x:v>URL</x:v>
      </x:c>
      <x:c r="E5" s="16" t="str">
        <x:v>裏付ける事実</x:v>
      </x:c>
      <x:c r="F5" s="16" t="str">
        <x:v>対象事例</x:v>
      </x:c>
      <x:c r="G5" s="16" t="str">
        <x:v>閲覧日</x:v>
      </x:c>
      <x:c r="H5" s="16" t="str">
        <x:v>注記</x:v>
      </x:c>
    </x:row>
    <x:row r="6" ht="66" customHeight="1">
      <x:c r="A6" s="23" t="n">
        <x:v>1</x:v>
      </x:c>
      <x:c r="B6" s="22" t="str">
        <x:v>Foundever</x:v>
      </x:c>
      <x:c r="C6" s="22" t="str">
        <x:v>公式ケース</x:v>
      </x:c>
      <x:c r="D6" s="24" t="str">
        <x:v>https://foundever.com/case-studies/group-benefits-insurer-turns-chatbot-breakdowns-into-continuous-digital-improvement/</x:v>
      </x:c>
      <x:c r="E6" s="22" t="str">
        <x:v>問い合わせ10%減、VOC、フィリピン／エルサルバドル運用</x:v>
      </x:c>
      <x:c r="F6" s="22" t="str">
        <x:v>Foundever × 米国福利厚生保険</x:v>
      </x:c>
      <x:c r="G6" s="46" t="str">
        <x:v>2026-08-19</x:v>
      </x:c>
      <x:c r="H6" s="22" t="str">
        <x:v>一次情報</x:v>
      </x:c>
    </x:row>
    <x:row r="7" ht="66" customHeight="1">
      <x:c r="A7" s="23" t="n">
        <x:v>2</x:v>
      </x:c>
      <x:c r="B7" s="22" t="str">
        <x:v>Foundever</x:v>
      </x:c>
      <x:c r="C7" s="22" t="str">
        <x:v>公式ケース</x:v>
      </x:c>
      <x:c r="D7" s="24" t="str">
        <x:v>https://foundever.com/en-uk/case-studies/a-leading-retailer-achieves-over-10-million-in-savings/</x:v>
      </x:c>
      <x:c r="E7" s="22" t="str">
        <x:v>1,000万ドル超削減、AHT改善、4カ国運用</x:v>
      </x:c>
      <x:c r="F7" s="22" t="str">
        <x:v>Foundever × 米国大手小売</x:v>
      </x:c>
      <x:c r="G7" s="46" t="str">
        <x:v>2026-08-19</x:v>
      </x:c>
      <x:c r="H7" s="22" t="str">
        <x:v>一次情報</x:v>
      </x:c>
    </x:row>
    <x:row r="8" ht="66" customHeight="1">
      <x:c r="A8" s="23" t="n">
        <x:v>3</x:v>
      </x:c>
      <x:c r="B8" s="22" t="str">
        <x:v>Sanas</x:v>
      </x:c>
      <x:c r="C8" s="22" t="str">
        <x:v>公式ケース</x:v>
      </x:c>
      <x:c r="D8" s="24" t="str">
        <x:v>https://www.sanas.ai/customer-stories/tp</x:v>
      </x:c>
      <x:c r="E8" s="22" t="str">
        <x:v>CSAT・AHT・FCR等の効果</x:v>
      </x:c>
      <x:c r="F8" s="22" t="str">
        <x:v>TP × Sanas</x:v>
      </x:c>
      <x:c r="G8" s="46" t="str">
        <x:v>2026-08-19</x:v>
      </x:c>
      <x:c r="H8" s="22" t="str">
        <x:v>ベンダー公表値</x:v>
      </x:c>
    </x:row>
    <x:row r="9" ht="66" customHeight="1">
      <x:c r="A9" s="23" t="n">
        <x:v>4</x:v>
      </x:c>
      <x:c r="B9" s="22" t="str">
        <x:v>TP</x:v>
      </x:c>
      <x:c r="C9" s="22" t="str">
        <x:v>公式プレスリリース</x:v>
      </x:c>
      <x:c r="D9" s="24" t="str">
        <x:v>https://www.tp.com/en-us/insights-list/press-releases/teleperformance-forms-strategic-partnership-with-real-time-speech-understanding-provider-sanas-as-part-its-growth-strategy-to-accelerate-ai-development-and-reinvent-customer-experience/</x:v>
      </x:c>
      <x:c r="E9" s="22" t="str">
        <x:v>Sanasとの提携、展開方針</x:v>
      </x:c>
      <x:c r="F9" s="22" t="str">
        <x:v>TP × Sanas</x:v>
      </x:c>
      <x:c r="G9" s="46" t="str">
        <x:v>2026-08-19</x:v>
      </x:c>
      <x:c r="H9" s="22" t="str">
        <x:v>一次情報</x:v>
      </x:c>
    </x:row>
    <x:row r="10" ht="66" customHeight="1">
      <x:c r="A10" s="23" t="n">
        <x:v>5</x:v>
      </x:c>
      <x:c r="B10" s="22" t="str">
        <x:v>Genpact</x:v>
      </x:c>
      <x:c r="C10" s="22" t="str">
        <x:v>公式ケース</x:v>
      </x:c>
      <x:c r="D10" s="24" t="str">
        <x:v>https://www.genpact.com/case-studies/powering-ai-innovation</x:v>
      </x:c>
      <x:c r="E10" s="22" t="str">
        <x:v>欧州→インド、多言語請求処理、13.75万ドル削減</x:v>
      </x:c>
      <x:c r="F10" s="22" t="str">
        <x:v>Genpact</x:v>
      </x:c>
      <x:c r="G10" s="46" t="str">
        <x:v>2026-08-19</x:v>
      </x:c>
      <x:c r="H10" s="22" t="str">
        <x:v>一次情報</x:v>
      </x:c>
    </x:row>
    <x:row r="11" ht="66" customHeight="1">
      <x:c r="A11" s="23" t="n">
        <x:v>6</x:v>
      </x:c>
      <x:c r="B11" s="22" t="str">
        <x:v>WNS</x:v>
      </x:c>
      <x:c r="C11" s="22" t="str">
        <x:v>公式ケース</x:v>
      </x:c>
      <x:c r="D11" s="24" t="str">
        <x:v>https://www.wns.com/perspectives/case-studies/powering-future-ready-digital-transformation-for-a-used-vehicle-marketplace</x:v>
      </x:c>
      <x:c r="E11" s="22" t="str">
        <x:v>顧客対応・経理・人事・ITの統合変革</x:v>
      </x:c>
      <x:c r="F11" s="22" t="str">
        <x:v>WNS</x:v>
      </x:c>
      <x:c r="G11" s="46" t="str">
        <x:v>2026-08-19</x:v>
      </x:c>
      <x:c r="H11" s="22" t="str">
        <x:v>案件国の一部非開示</x:v>
      </x:c>
    </x:row>
    <x:row r="12" ht="66" customHeight="1">
      <x:c r="A12" s="23" t="n">
        <x:v>7</x:v>
      </x:c>
      <x:c r="B12" s="22" t="str">
        <x:v>Access Healthcare</x:v>
      </x:c>
      <x:c r="C12" s="22" t="str">
        <x:v>公式ニュース</x:v>
      </x:c>
      <x:c r="D12" s="24" t="str">
        <x:v>https://www.accesshealthcare.com/news/access-healthcare-expands-operations-in-noida-opens-a-170000-sqft-1960-seat-facility</x:v>
      </x:c>
      <x:c r="E12" s="22" t="str">
        <x:v>インド拠点・提供体制</x:v>
      </x:c>
      <x:c r="F12" s="22" t="str">
        <x:v>Access Healthcare</x:v>
      </x:c>
      <x:c r="G12" s="46" t="str">
        <x:v>2026-08-19</x:v>
      </x:c>
      <x:c r="H12" s="22" t="str">
        <x:v>一次情報</x:v>
      </x:c>
    </x:row>
    <x:row r="13" ht="66" customHeight="1">
      <x:c r="A13" s="23" t="n">
        <x:v>8</x:v>
      </x:c>
      <x:c r="B13" s="22" t="str">
        <x:v>Access Healthcare</x:v>
      </x:c>
      <x:c r="C13" s="22" t="str">
        <x:v>公式サービス</x:v>
      </x:c>
      <x:c r="D13" s="24" t="str">
        <x:v>https://www.accesshealthcare.com/services/revenue-cycle-process-automation/overview</x:v>
      </x:c>
      <x:c r="E13" s="22" t="str">
        <x:v>入金処理1億件超、約85%人手不要</x:v>
      </x:c>
      <x:c r="F13" s="22" t="str">
        <x:v>Access Healthcare</x:v>
      </x:c>
      <x:c r="G13" s="46" t="str">
        <x:v>2026-08-19</x:v>
      </x:c>
      <x:c r="H13" s="22" t="str">
        <x:v>企業公表値</x:v>
      </x:c>
    </x:row>
    <x:row r="14" ht="66" customHeight="1">
      <x:c r="A14" s="23" t="n">
        <x:v>9</x:v>
      </x:c>
      <x:c r="B14" s="22" t="str">
        <x:v>Access Healthcare</x:v>
      </x:c>
      <x:c r="C14" s="22" t="str">
        <x:v>公式ニュース</x:v>
      </x:c>
      <x:c r="D14" s="24" t="str">
        <x:v>https://www.accesshealthcare.com/news/2021/7/21/introducing-echo-an-artificial-intelligence-and-revenue-cycle-process-automation-platform</x:v>
      </x:c>
      <x:c r="E14" s="22" t="str">
        <x:v>AI／RPA基盤 echo</x:v>
      </x:c>
      <x:c r="F14" s="22" t="str">
        <x:v>Access Healthcare</x:v>
      </x:c>
      <x:c r="G14" s="46" t="str">
        <x:v>2026-08-19</x:v>
      </x:c>
      <x:c r="H14" s="22" t="str">
        <x:v>一次情報</x:v>
      </x:c>
    </x:row>
    <x:row r="15" ht="66" customHeight="1">
      <x:c r="A15" s="23" t="n">
        <x:v>10</x:v>
      </x:c>
      <x:c r="B15" s="22" t="str">
        <x:v>IKS Health</x:v>
      </x:c>
      <x:c r="C15" s="22" t="str">
        <x:v>公式ケース</x:v>
      </x:c>
      <x:c r="D15" s="24" t="str">
        <x:v>https://ikshealth.com/insights/client-stories/scaling-medical-coding-excellence-for-midwests-large-health-system/</x:v>
      </x:c>
      <x:c r="E15" s="22" t="str">
        <x:v>月間コーディング費65%減、TAT</x:v>
      </x:c>
      <x:c r="F15" s="22" t="str">
        <x:v>IKS Health</x:v>
      </x:c>
      <x:c r="G15" s="46" t="str">
        <x:v>2026-08-19</x:v>
      </x:c>
      <x:c r="H15" s="22" t="str">
        <x:v>一次情報</x:v>
      </x:c>
    </x:row>
    <x:row r="16" ht="66" customHeight="1">
      <x:c r="A16" s="23" t="n">
        <x:v>11</x:v>
      </x:c>
      <x:c r="B16" s="22" t="str">
        <x:v>Google Cloud</x:v>
      </x:c>
      <x:c r="C16" s="22" t="str">
        <x:v>公式顧客事例</x:v>
      </x:c>
      <x:c r="D16" s="24" t="str">
        <x:v>https://cloud.google.com/customers/iks-health</x:v>
      </x:c>
      <x:c r="E16" s="22" t="str">
        <x:v>IKSのAI・データ基盤と米印運用</x:v>
      </x:c>
      <x:c r="F16" s="22" t="str">
        <x:v>IKS Health</x:v>
      </x:c>
      <x:c r="G16" s="46" t="str">
        <x:v>2026-08-19</x:v>
      </x:c>
      <x:c r="H16" s="22" t="str">
        <x:v>一次情報</x:v>
      </x:c>
    </x:row>
    <x:row r="17" ht="66" customHeight="1">
      <x:c r="A17" s="23" t="n">
        <x:v>12</x:v>
      </x:c>
      <x:c r="B17" s="22" t="str">
        <x:v>IKS Health</x:v>
      </x:c>
      <x:c r="C17" s="22" t="str">
        <x:v>公式サービス</x:v>
      </x:c>
      <x:c r="D17" s="24" t="str">
        <x:v>https://ikshealth.com/platform/</x:v>
      </x:c>
      <x:c r="E17" s="22" t="str">
        <x:v>年1.2億取引、同時利用規模</x:v>
      </x:c>
      <x:c r="F17" s="22" t="str">
        <x:v>IKS Health</x:v>
      </x:c>
      <x:c r="G17" s="46" t="str">
        <x:v>2026-08-19</x:v>
      </x:c>
      <x:c r="H17" s="22" t="str">
        <x:v>企業公表値</x:v>
      </x:c>
    </x:row>
    <x:row r="18" ht="66" customHeight="1">
      <x:c r="A18" s="23" t="n">
        <x:v>13</x:v>
      </x:c>
      <x:c r="B18" s="22" t="str">
        <x:v>Konecta</x:v>
      </x:c>
      <x:c r="C18" s="22" t="str">
        <x:v>公式ケース</x:v>
      </x:c>
      <x:c r="D18" s="24" t="str">
        <x:v>https://konecta.com/index.php/news-insights/clients-stories/elevating-directvs-multi-country-support-with-genai-and-automation</x:v>
      </x:c>
      <x:c r="E18" s="22" t="str">
        <x:v>中南米7カ国、顧客対応100%外部化、生成AI</x:v>
      </x:c>
      <x:c r="F18" s="22" t="str">
        <x:v>Konecta × DIRECTV</x:v>
      </x:c>
      <x:c r="G18" s="46" t="str">
        <x:v>2026-08-19</x:v>
      </x:c>
      <x:c r="H18" s="22" t="str">
        <x:v>一次情報</x:v>
      </x:c>
    </x:row>
    <x:row r="19" ht="66" customHeight="1">
      <x:c r="A19" s="23" t="n">
        <x:v>14</x:v>
      </x:c>
      <x:c r="B19" s="22" t="str">
        <x:v>TaskUs</x:v>
      </x:c>
      <x:c r="C19" s="22" t="str">
        <x:v>公式記事</x:v>
      </x:c>
      <x:c r="D19" s="24" t="str">
        <x:v>https://www.taskus.com/insights/what-is-image-annotation/</x:v>
      </x:c>
      <x:c r="E19" s="22" t="str">
        <x:v>自動運転画像アノテーション、1,800人・精度98%</x:v>
      </x:c>
      <x:c r="F19" s="22" t="str">
        <x:v>TaskUs</x:v>
      </x:c>
      <x:c r="G19" s="46" t="str">
        <x:v>2026-08-19</x:v>
      </x:c>
      <x:c r="H19" s="22" t="str">
        <x:v>企業公表値</x:v>
      </x:c>
    </x:row>
    <x:row r="20" ht="66" customHeight="1">
      <x:c r="A20" s="23" t="n">
        <x:v>15</x:v>
      </x:c>
      <x:c r="B20" s="22" t="str">
        <x:v>TaskUs</x:v>
      </x:c>
      <x:c r="C20" s="22" t="str">
        <x:v>SEC提出資料</x:v>
      </x:c>
      <x:c r="D20" s="24" t="str">
        <x:v>https://ir.taskus.com/static-files/8e218043-c18d-40cb-9958-e034696fecb0</x:v>
      </x:c>
      <x:c r="E20" s="22" t="str">
        <x:v>会社拠点・AIサービスの補足</x:v>
      </x:c>
      <x:c r="F20" s="22" t="str">
        <x:v>TaskUs</x:v>
      </x:c>
      <x:c r="G20" s="46" t="str">
        <x:v>2026-08-19</x:v>
      </x:c>
      <x:c r="H20" s="22" t="str">
        <x:v>一次資料</x:v>
      </x:c>
    </x:row>
    <x:row r="21" ht="66" customHeight="1">
      <x:c r="A21" s="23" t="n">
        <x:v>16</x:v>
      </x:c>
      <x:c r="B21" s="22" t="str">
        <x:v>CloudFactory</x:v>
      </x:c>
      <x:c r="C21" s="22" t="str">
        <x:v>公式ケース</x:v>
      </x:c>
      <x:c r="D21" s="24" t="str">
        <x:v>https://www.cloudfactory.com/client-stories/nearmap-ai</x:v>
      </x:c>
      <x:c r="E21" s="22" t="str">
        <x:v>30万時間超、月間10倍、Nearmap協業</x:v>
      </x:c>
      <x:c r="F21" s="22" t="str">
        <x:v>CloudFactory × Nearmap</x:v>
      </x:c>
      <x:c r="G21" s="46" t="str">
        <x:v>2026-08-19</x:v>
      </x:c>
      <x:c r="H21" s="22" t="str">
        <x:v>一次情報</x:v>
      </x:c>
    </x:row>
    <x:row r="22" ht="66" customHeight="1">
      <x:c r="A22" s="23" t="n">
        <x:v>17</x:v>
      </x:c>
      <x:c r="B22" s="22" t="str">
        <x:v>Invisible Technologies</x:v>
      </x:c>
      <x:c r="C22" s="22" t="str">
        <x:v>公式ケース</x:v>
      </x:c>
      <x:c r="D22" s="24" t="str">
        <x:v>https://www.invisible.co/case-studies/launching-a-leading-llm-6-months-faster</x:v>
      </x:c>
      <x:c r="E22" s="22" t="str">
        <x:v>487人、5,000件/日、約95%、6カ月前倒し</x:v>
      </x:c>
      <x:c r="F22" s="22" t="str">
        <x:v>Invisible Technologies</x:v>
      </x:c>
      <x:c r="G22" s="46" t="str">
        <x:v>2026-08-19</x:v>
      </x:c>
      <x:c r="H22" s="22" t="str">
        <x:v>顧客名・国非開示</x:v>
      </x:c>
    </x:row>
    <x:row r="23" ht="66" customHeight="1">
      <x:c r="A23" s="23" t="n">
        <x:v>18</x:v>
      </x:c>
      <x:c r="B23" s="22" t="str">
        <x:v>TIME</x:v>
      </x:c>
      <x:c r="C23" s="22" t="str">
        <x:v>調査報道</x:v>
      </x:c>
      <x:c r="D23" s="24" t="str">
        <x:v>https://time.com/6247678/openai-chatgpt-kenya-workers/</x:v>
      </x:c>
      <x:c r="E23" s="22" t="str">
        <x:v>OpenAI→Samaケニア、賃金・心理負担</x:v>
      </x:c>
      <x:c r="F23" s="22" t="str">
        <x:v>OpenAI × Sama</x:v>
      </x:c>
      <x:c r="G23" s="46" t="str">
        <x:v>2026-08-19</x:v>
      </x:c>
      <x:c r="H23" s="22" t="str">
        <x:v>二次情報・歴史的事例</x:v>
      </x:c>
    </x:row>
    <x:row r="24" ht="66" customHeight="1">
      <x:c r="A24" s="23" t="n">
        <x:v>19</x:v>
      </x:c>
      <x:c r="B24" s="22" t="str">
        <x:v>U.S. SEC / Klarna</x:v>
      </x:c>
      <x:c r="C24" s="22" t="str">
        <x:v>年次報告書</x:v>
      </x:c>
      <x:c r="D24" s="24" t="str">
        <x:v>https://www.sec.gov/Archives/edgar/data/2003292/000200329226000007/klar-20251231.htm</x:v>
      </x:c>
      <x:c r="E24" s="22" t="str">
        <x:v>チャット80%、700人超相当、コスト削減</x:v>
      </x:c>
      <x:c r="F24" s="22" t="str">
        <x:v>Klarna</x:v>
      </x:c>
      <x:c r="G24" s="46" t="str">
        <x:v>2026-08-19</x:v>
      </x:c>
      <x:c r="H24" s="22" t="str">
        <x:v>一次資料</x:v>
      </x:c>
    </x:row>
    <x:row r="25" ht="66" customHeight="1">
      <x:c r="A25" s="23" t="n">
        <x:v>20</x:v>
      </x:c>
      <x:c r="B25" s="22" t="str">
        <x:v>Associated Press</x:v>
      </x:c>
      <x:c r="C25" s="22" t="str">
        <x:v>報道</x:v>
      </x:c>
      <x:c r="D25" s="24" t="str">
        <x:v>https://apnews.com/article/ca87ae77d7c6797ebb2628bd1b532929</x:v>
      </x:c>
      <x:c r="E25" s="22" t="str">
        <x:v>Klarnaの人間窓口・AI運用の補足</x:v>
      </x:c>
      <x:c r="F25" s="22" t="str">
        <x:v>Klarna</x:v>
      </x:c>
      <x:c r="G25" s="46" t="str">
        <x:v>2026-08-19</x:v>
      </x:c>
      <x:c r="H25" s="22" t="str">
        <x:v>二次情報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808cceb670fa48de"/>
  </x:tableParts>
</x:worksheet>
</file>